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862d5ce3eedc922/Documents/Git_Hub/Python Programs/New folder/"/>
    </mc:Choice>
  </mc:AlternateContent>
  <xr:revisionPtr revIDLastSave="78" documentId="8_{CAB9ADD9-4CE6-416C-9F9A-1009992A452C}" xr6:coauthVersionLast="47" xr6:coauthVersionMax="47" xr10:uidLastSave="{4808C817-5625-4772-9E5D-30F6AEB3938D}"/>
  <bookViews>
    <workbookView xWindow="-108" yWindow="-108" windowWidth="20376" windowHeight="12816" activeTab="3" xr2:uid="{79DDB889-1591-4715-A208-4F5DC9E1725F}"/>
  </bookViews>
  <sheets>
    <sheet name="Details" sheetId="3" r:id="rId1"/>
    <sheet name="Assumptions Sheet" sheetId="2" r:id="rId2"/>
    <sheet name="Calc Engine" sheetId="1" r:id="rId3"/>
    <sheet name="Optimizer Engine" sheetId="4" r:id="rId4"/>
  </sheets>
  <externalReferences>
    <externalReference r:id="rId5"/>
    <externalReference r:id="rId6"/>
  </externalReferences>
  <definedNames>
    <definedName name="Age" localSheetId="1">'[1]Calc Engine'!$C$31:$C$89</definedName>
    <definedName name="Age" localSheetId="0">'[2]Calc Engine'!$C$31:$C$89</definedName>
    <definedName name="Age" localSheetId="3">'[2]Calc Engine'!$C$31:$C$89</definedName>
    <definedName name="Age">'Calc Engine'!$C$31:$C$89</definedName>
    <definedName name="Allocation_Large_Cap">'Calc Engine'!$AM$21</definedName>
    <definedName name="Allocation_Mid_Cap">'Calc Engine'!$AM$22</definedName>
    <definedName name="Allocation_Small_Cap">'Calc Engine'!$AM$23</definedName>
    <definedName name="End_Of_Year_Value_Large_Cap" localSheetId="1">'[1]Calc Engine'!$AO$31:$AO$89</definedName>
    <definedName name="End_Of_Year_Value_Large_Cap" localSheetId="0">'[2]Calc Engine'!$AO$31:$AO$89</definedName>
    <definedName name="End_Of_Year_Value_Large_Cap" localSheetId="3">'[2]Calc Engine'!$AO$31:$AO$89</definedName>
    <definedName name="End_Of_Year_Value_Large_Cap">'Calc Engine'!$AO$31:$AO$89</definedName>
    <definedName name="End_Of_Year_Value_Mid_Cap" localSheetId="1">'[1]Calc Engine'!$AT$31:$AT$89</definedName>
    <definedName name="End_Of_Year_Value_Mid_Cap" localSheetId="0">'[2]Calc Engine'!$AT$31:$AT$89</definedName>
    <definedName name="End_Of_Year_Value_Mid_Cap" localSheetId="3">'[2]Calc Engine'!$AT$31:$AT$89</definedName>
    <definedName name="End_Of_Year_Value_Mid_Cap">'Calc Engine'!$AT$31:$AT$89</definedName>
    <definedName name="End_Of_Year_Value_Small_Cap" localSheetId="1">'[1]Calc Engine'!$AY$31:$AY$89</definedName>
    <definedName name="End_Of_Year_Value_Small_Cap" localSheetId="0">'[2]Calc Engine'!$AY$31:$AY$89</definedName>
    <definedName name="End_Of_Year_Value_Small_Cap" localSheetId="3">'[2]Calc Engine'!$AY$31:$AY$89</definedName>
    <definedName name="End_Of_Year_Value_Small_Cap">'Calc Engine'!$AY$31:$AY$89</definedName>
    <definedName name="Opening_Savings" localSheetId="0">Details!$V$20</definedName>
    <definedName name="Opening_Savings" localSheetId="3">[2]Details!$V$20</definedName>
    <definedName name="Opening_Savings">[1]Details!$V$20</definedName>
    <definedName name="Total_Surplus" localSheetId="1">'[1]Calc Engine'!$BH$5</definedName>
    <definedName name="Total_Surplus" localSheetId="0">'[2]Calc Engine'!$BH$5</definedName>
    <definedName name="Total_Surplus" localSheetId="3">'[2]Calc Engine'!$BH$5</definedName>
    <definedName name="Total_Surplus">'Calc Engine'!$BH$5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4" l="1" a="1"/>
  <c r="D4" i="4" s="1"/>
  <c r="P5" i="4"/>
  <c r="O6" i="4"/>
  <c r="P6" i="4" s="1"/>
  <c r="O7" i="4"/>
  <c r="P7" i="4" s="1"/>
  <c r="O8" i="4"/>
  <c r="P8" i="4" s="1"/>
  <c r="O9" i="4"/>
  <c r="P9" i="4" s="1"/>
  <c r="O10" i="4"/>
  <c r="P10" i="4" s="1"/>
  <c r="O11" i="4"/>
  <c r="O12" i="4" s="1"/>
  <c r="P12" i="4" s="1"/>
  <c r="C5" i="4" a="1"/>
  <c r="C5" i="4" s="1"/>
  <c r="AM22" i="1"/>
  <c r="AM21" i="1"/>
  <c r="C4" i="4"/>
  <c r="AM23" i="1"/>
  <c r="AN21" i="1" s="1"/>
  <c r="M6" i="4"/>
  <c r="M7" i="4" s="1"/>
  <c r="M8" i="4" s="1"/>
  <c r="M9" i="4" s="1"/>
  <c r="M10" i="4" s="1"/>
  <c r="M11" i="4" s="1"/>
  <c r="M12" i="4" s="1"/>
  <c r="AC18" i="3"/>
  <c r="F8" i="2" s="1"/>
  <c r="R23" i="3"/>
  <c r="Q23" i="3"/>
  <c r="P23" i="3"/>
  <c r="H23" i="3"/>
  <c r="R22" i="3"/>
  <c r="Q22" i="3"/>
  <c r="P22" i="3"/>
  <c r="R21" i="3"/>
  <c r="Q21" i="3"/>
  <c r="P21" i="3"/>
  <c r="H21" i="3"/>
  <c r="R20" i="3"/>
  <c r="Q20" i="3"/>
  <c r="P20" i="3"/>
  <c r="S20" i="3" s="1"/>
  <c r="H20" i="3"/>
  <c r="AC19" i="3"/>
  <c r="F9" i="2" s="1"/>
  <c r="Q19" i="3"/>
  <c r="P19" i="3"/>
  <c r="R18" i="3"/>
  <c r="P18" i="3"/>
  <c r="H18" i="3"/>
  <c r="D18" i="3"/>
  <c r="AC17" i="3"/>
  <c r="F7" i="2" s="1"/>
  <c r="C14" i="2" s="1"/>
  <c r="R17" i="3"/>
  <c r="Q17" i="3"/>
  <c r="M17" i="3"/>
  <c r="H17" i="3"/>
  <c r="R16" i="3"/>
  <c r="Q16" i="3"/>
  <c r="H16" i="3"/>
  <c r="D16" i="3"/>
  <c r="R15" i="3"/>
  <c r="P15" i="3"/>
  <c r="H15" i="3"/>
  <c r="D15" i="3"/>
  <c r="R14" i="3"/>
  <c r="Q14" i="3"/>
  <c r="AE12" i="3"/>
  <c r="AD12" i="3"/>
  <c r="AC12" i="3"/>
  <c r="Z12" i="3"/>
  <c r="Y12" i="3"/>
  <c r="X12" i="3"/>
  <c r="W12" i="3"/>
  <c r="V12" i="3"/>
  <c r="U12" i="3"/>
  <c r="G9" i="3"/>
  <c r="H10" i="3" s="1"/>
  <c r="H8" i="3"/>
  <c r="H9" i="3" s="1"/>
  <c r="G8" i="3"/>
  <c r="C8" i="3"/>
  <c r="D17" i="3" s="1"/>
  <c r="E13" i="2" a="1"/>
  <c r="E13" i="2"/>
  <c r="E20" i="2" s="1"/>
  <c r="F13" i="2"/>
  <c r="F20" i="2" s="1"/>
  <c r="G13" i="2"/>
  <c r="G20" i="2" s="1"/>
  <c r="H13" i="2"/>
  <c r="H20" i="2" s="1"/>
  <c r="I13" i="2"/>
  <c r="I20" i="2" s="1"/>
  <c r="B14" i="2" a="1"/>
  <c r="B14" i="2"/>
  <c r="T14" i="2"/>
  <c r="AA20" i="2"/>
  <c r="AB20" i="2"/>
  <c r="AC20" i="2"/>
  <c r="AD20" i="2"/>
  <c r="AE20" i="2"/>
  <c r="A21" i="2" a="1"/>
  <c r="A21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B31" i="1" a="1"/>
  <c r="B31" i="1" s="1"/>
  <c r="C31" i="1" s="1"/>
  <c r="AJ31" i="1" s="1"/>
  <c r="AZ31" i="1" s="1"/>
  <c r="N30" i="1"/>
  <c r="BH29" i="1"/>
  <c r="AG29" i="1"/>
  <c r="Q29" i="1" a="1"/>
  <c r="E29" i="1" a="1"/>
  <c r="Q28" i="1" a="1"/>
  <c r="Y28" i="1" s="1"/>
  <c r="E28" i="1" a="1"/>
  <c r="E28" i="1" s="1"/>
  <c r="AH25" i="1"/>
  <c r="AL21" i="1" a="1"/>
  <c r="AL25" i="1" s="1"/>
  <c r="BB17" i="1"/>
  <c r="BD17" i="1" s="1"/>
  <c r="BE17" i="1" s="1"/>
  <c r="BF17" i="1" s="1"/>
  <c r="AV17" i="1"/>
  <c r="AX17" i="1" s="1"/>
  <c r="AY17" i="1" s="1"/>
  <c r="AZ17" i="1" s="1"/>
  <c r="AP17" i="1"/>
  <c r="AR17" i="1" s="1"/>
  <c r="AS17" i="1" s="1"/>
  <c r="AT17" i="1" s="1"/>
  <c r="BB16" i="1"/>
  <c r="BD16" i="1" s="1"/>
  <c r="BE16" i="1" s="1"/>
  <c r="BF16" i="1" s="1"/>
  <c r="AV16" i="1"/>
  <c r="AX16" i="1" s="1"/>
  <c r="AY16" i="1" s="1"/>
  <c r="AZ16" i="1" s="1"/>
  <c r="AP16" i="1"/>
  <c r="AR16" i="1" s="1"/>
  <c r="AS16" i="1" s="1"/>
  <c r="AT16" i="1" s="1"/>
  <c r="BB15" i="1"/>
  <c r="BD15" i="1" s="1"/>
  <c r="BE15" i="1" s="1"/>
  <c r="BF15" i="1" s="1"/>
  <c r="AV15" i="1"/>
  <c r="AX15" i="1" s="1"/>
  <c r="AY15" i="1" s="1"/>
  <c r="AZ15" i="1" s="1"/>
  <c r="AP15" i="1"/>
  <c r="AR15" i="1" s="1"/>
  <c r="AS15" i="1" s="1"/>
  <c r="AT15" i="1" s="1"/>
  <c r="BD14" i="1"/>
  <c r="BE14" i="1" s="1"/>
  <c r="BF14" i="1" s="1"/>
  <c r="BI14" i="1" s="1"/>
  <c r="BJ14" i="1" s="1"/>
  <c r="BB14" i="1"/>
  <c r="AV14" i="1"/>
  <c r="AX14" i="1" s="1"/>
  <c r="AY14" i="1" s="1"/>
  <c r="AZ14" i="1" s="1"/>
  <c r="AR14" i="1"/>
  <c r="AS14" i="1" s="1"/>
  <c r="AT14" i="1" s="1"/>
  <c r="AP14" i="1"/>
  <c r="BB13" i="1"/>
  <c r="AV13" i="1"/>
  <c r="AX13" i="1" s="1"/>
  <c r="AY13" i="1" s="1"/>
  <c r="AZ13" i="1" s="1"/>
  <c r="AP13" i="1"/>
  <c r="AR13" i="1" s="1"/>
  <c r="AS13" i="1" s="1"/>
  <c r="AT13" i="1" s="1"/>
  <c r="BB12" i="1"/>
  <c r="BD12" i="1" s="1"/>
  <c r="BE12" i="1" s="1"/>
  <c r="BF12" i="1" s="1"/>
  <c r="AV12" i="1"/>
  <c r="AP12" i="1"/>
  <c r="AR12" i="1" s="1"/>
  <c r="AS12" i="1" s="1"/>
  <c r="AT12" i="1" s="1"/>
  <c r="BB11" i="1"/>
  <c r="BD11" i="1" s="1"/>
  <c r="BE11" i="1" s="1"/>
  <c r="BF11" i="1" s="1"/>
  <c r="AV11" i="1"/>
  <c r="AX11" i="1" s="1"/>
  <c r="AY11" i="1" s="1"/>
  <c r="AZ11" i="1" s="1"/>
  <c r="AP11" i="1"/>
  <c r="BB10" i="1"/>
  <c r="BD10" i="1" s="1"/>
  <c r="BE10" i="1" s="1"/>
  <c r="BF10" i="1" s="1"/>
  <c r="AV10" i="1"/>
  <c r="AX10" i="1" s="1"/>
  <c r="AY10" i="1" s="1"/>
  <c r="AZ10" i="1" s="1"/>
  <c r="AP10" i="1"/>
  <c r="BB9" i="1"/>
  <c r="BD9" i="1" s="1"/>
  <c r="BE9" i="1" s="1"/>
  <c r="BF9" i="1" s="1"/>
  <c r="AV9" i="1"/>
  <c r="AP9" i="1"/>
  <c r="AR9" i="1" s="1"/>
  <c r="AS9" i="1" s="1"/>
  <c r="AT9" i="1" s="1"/>
  <c r="BB8" i="1"/>
  <c r="BD8" i="1" s="1"/>
  <c r="BE8" i="1" s="1"/>
  <c r="BF8" i="1" s="1"/>
  <c r="AV8" i="1"/>
  <c r="AX8" i="1" s="1"/>
  <c r="AY8" i="1" s="1"/>
  <c r="AZ8" i="1" s="1"/>
  <c r="AP8" i="1"/>
  <c r="AN8" i="1"/>
  <c r="AN8" i="1" a="1"/>
  <c r="AM8" i="1" a="1"/>
  <c r="AM8" i="1" s="1"/>
  <c r="AL8" i="1" a="1"/>
  <c r="BF3" i="1"/>
  <c r="P11" i="4" l="1"/>
  <c r="S21" i="3"/>
  <c r="S23" i="3"/>
  <c r="S22" i="3"/>
  <c r="D14" i="2"/>
  <c r="Y14" i="2"/>
  <c r="Z14" i="2" s="1"/>
  <c r="AU31" i="1"/>
  <c r="H14" i="3"/>
  <c r="D14" i="3"/>
  <c r="D8" i="3" s="1"/>
  <c r="H19" i="3"/>
  <c r="H22" i="3"/>
  <c r="BI17" i="1"/>
  <c r="BJ17" i="1" s="1"/>
  <c r="B15" i="2"/>
  <c r="C15" i="2"/>
  <c r="Y15" i="2" s="1"/>
  <c r="Z15" i="2" s="1"/>
  <c r="B16" i="2"/>
  <c r="C16" i="2"/>
  <c r="Y16" i="2" s="1"/>
  <c r="BI16" i="1"/>
  <c r="BJ16" i="1" s="1"/>
  <c r="AL21" i="1"/>
  <c r="C32" i="1"/>
  <c r="AJ32" i="1" s="1"/>
  <c r="E29" i="1"/>
  <c r="I29" i="1"/>
  <c r="I31" i="1" s="1"/>
  <c r="F29" i="1"/>
  <c r="F31" i="1" s="1"/>
  <c r="G29" i="1"/>
  <c r="G31" i="1" s="1"/>
  <c r="H29" i="1"/>
  <c r="H31" i="1" s="1"/>
  <c r="F28" i="1"/>
  <c r="G28" i="1"/>
  <c r="V29" i="1"/>
  <c r="V31" i="1" s="1"/>
  <c r="U29" i="1"/>
  <c r="U31" i="1" s="1"/>
  <c r="T29" i="1"/>
  <c r="T31" i="1" s="1"/>
  <c r="H28" i="1"/>
  <c r="Q29" i="1"/>
  <c r="I28" i="1"/>
  <c r="R29" i="1"/>
  <c r="R31" i="1" s="1"/>
  <c r="BH11" i="1"/>
  <c r="BH10" i="1"/>
  <c r="BH12" i="1"/>
  <c r="BH13" i="1"/>
  <c r="V28" i="1"/>
  <c r="U28" i="1"/>
  <c r="T28" i="1"/>
  <c r="S29" i="1"/>
  <c r="S31" i="1" s="1"/>
  <c r="AL8" i="1"/>
  <c r="BH8" i="1" s="1"/>
  <c r="BI15" i="1"/>
  <c r="BJ15" i="1" s="1"/>
  <c r="BH16" i="1"/>
  <c r="Q28" i="1"/>
  <c r="W29" i="1"/>
  <c r="W31" i="1" s="1"/>
  <c r="BH9" i="1"/>
  <c r="BH14" i="1"/>
  <c r="BH15" i="1"/>
  <c r="BH17" i="1"/>
  <c r="R28" i="1"/>
  <c r="X29" i="1"/>
  <c r="X31" i="1" s="1"/>
  <c r="S28" i="1"/>
  <c r="Y29" i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AP31" i="1"/>
  <c r="W28" i="1"/>
  <c r="AL24" i="1"/>
  <c r="AL23" i="1"/>
  <c r="AL22" i="1"/>
  <c r="X28" i="1"/>
  <c r="C15" i="4" l="1" a="1"/>
  <c r="C15" i="4" s="1"/>
  <c r="AA37" i="2" a="1"/>
  <c r="AA37" i="2" s="1"/>
  <c r="AC49" i="2" a="1"/>
  <c r="AC49" i="2" s="1"/>
  <c r="AB46" i="2" a="1"/>
  <c r="AB46" i="2" s="1"/>
  <c r="AB31" i="2" a="1"/>
  <c r="AB31" i="2" s="1"/>
  <c r="AA31" i="2" a="1"/>
  <c r="AA31" i="2" s="1"/>
  <c r="AE59" i="2" a="1"/>
  <c r="AE59" i="2" s="1"/>
  <c r="AD24" i="2" a="1"/>
  <c r="AD24" i="2" s="1"/>
  <c r="AB56" i="2" a="1"/>
  <c r="AB56" i="2" s="1"/>
  <c r="AD58" i="2" a="1"/>
  <c r="AD58" i="2" s="1"/>
  <c r="AB60" i="2" a="1"/>
  <c r="AB60" i="2" s="1"/>
  <c r="AB59" i="2" a="1"/>
  <c r="AB59" i="2" s="1"/>
  <c r="AC23" i="2" a="1"/>
  <c r="AC23" i="2" s="1"/>
  <c r="AE51" i="2" a="1"/>
  <c r="AE51" i="2" s="1"/>
  <c r="AA28" i="2" a="1"/>
  <c r="AA28" i="2" s="1"/>
  <c r="AC56" i="2" a="1"/>
  <c r="AC56" i="2" s="1"/>
  <c r="AE38" i="2" a="1"/>
  <c r="AE38" i="2" s="1"/>
  <c r="AE27" i="2" a="1"/>
  <c r="AE27" i="2" s="1"/>
  <c r="AB26" i="2" a="1"/>
  <c r="AB26" i="2" s="1"/>
  <c r="AD25" i="2" a="1"/>
  <c r="AD25" i="2" s="1"/>
  <c r="AD38" i="2" a="1"/>
  <c r="AD38" i="2" s="1"/>
  <c r="AC27" i="2" a="1"/>
  <c r="AC27" i="2" s="1"/>
  <c r="AC54" i="2" a="1"/>
  <c r="AC54" i="2" s="1"/>
  <c r="AB43" i="2" a="1"/>
  <c r="AB43" i="2" s="1"/>
  <c r="AC57" i="2" a="1"/>
  <c r="AC57" i="2" s="1"/>
  <c r="AD41" i="2" a="1"/>
  <c r="AD41" i="2" s="1"/>
  <c r="AA45" i="2" a="1"/>
  <c r="AA45" i="2" s="1"/>
  <c r="AE32" i="2" a="1"/>
  <c r="AE32" i="2" s="1"/>
  <c r="AA22" i="2" a="1"/>
  <c r="AA22" i="2" s="1"/>
  <c r="AA30" i="2" a="1"/>
  <c r="AA30" i="2" s="1"/>
  <c r="AE39" i="2" a="1"/>
  <c r="AE39" i="2" s="1"/>
  <c r="AA27" i="2" a="1"/>
  <c r="AA27" i="2" s="1"/>
  <c r="Z16" i="2"/>
  <c r="AA36" i="2" s="1" a="1"/>
  <c r="AA36" i="2" s="1"/>
  <c r="D16" i="2"/>
  <c r="D15" i="2"/>
  <c r="AD31" i="2" a="1"/>
  <c r="AD31" i="2" s="1"/>
  <c r="AZ32" i="1"/>
  <c r="AU32" i="1"/>
  <c r="AP32" i="1"/>
  <c r="U52" i="2" a="1"/>
  <c r="U52" i="2" s="1"/>
  <c r="R49" i="2" a="1"/>
  <c r="R49" i="2" s="1"/>
  <c r="H56" i="2" a="1"/>
  <c r="H56" i="2" s="1"/>
  <c r="F55" i="2" a="1"/>
  <c r="F55" i="2" s="1"/>
  <c r="O50" i="2" a="1"/>
  <c r="O50" i="2" s="1"/>
  <c r="G50" i="2" a="1"/>
  <c r="G50" i="2" s="1"/>
  <c r="E54" i="2" a="1"/>
  <c r="E54" i="2" s="1"/>
  <c r="T21" i="2" a="1"/>
  <c r="T21" i="2" s="1"/>
  <c r="R31" i="2" a="1"/>
  <c r="R31" i="2" s="1"/>
  <c r="Q24" i="2" a="1"/>
  <c r="Q24" i="2" s="1"/>
  <c r="I52" i="2" a="1"/>
  <c r="I52" i="2" s="1"/>
  <c r="H29" i="2" a="1"/>
  <c r="H29" i="2" s="1"/>
  <c r="T31" i="2" a="1"/>
  <c r="T31" i="2" s="1"/>
  <c r="P36" i="2" a="1"/>
  <c r="P36" i="2" s="1"/>
  <c r="G25" i="2" a="1"/>
  <c r="G25" i="2" s="1"/>
  <c r="T36" i="2" a="1"/>
  <c r="T36" i="2" s="1"/>
  <c r="H50" i="2" a="1"/>
  <c r="H50" i="2" s="1"/>
  <c r="AE42" i="2" a="1"/>
  <c r="AE42" i="2" s="1"/>
  <c r="T22" i="2" a="1"/>
  <c r="T22" i="2" s="1"/>
  <c r="AE58" i="2" a="1"/>
  <c r="AE58" i="2" s="1"/>
  <c r="S58" i="2" a="1"/>
  <c r="S58" i="2" s="1"/>
  <c r="AD60" i="2" a="1"/>
  <c r="AD60" i="2" s="1"/>
  <c r="S53" i="2" a="1"/>
  <c r="S53" i="2" s="1"/>
  <c r="H43" i="2" a="1"/>
  <c r="H43" i="2" s="1"/>
  <c r="T47" i="2" a="1"/>
  <c r="T47" i="2" s="1"/>
  <c r="V29" i="2" a="1"/>
  <c r="V29" i="2" s="1"/>
  <c r="I49" i="2" a="1"/>
  <c r="I49" i="2" s="1"/>
  <c r="F33" i="2" a="1"/>
  <c r="F33" i="2" s="1"/>
  <c r="Q27" i="2" a="1"/>
  <c r="Q27" i="2" s="1"/>
  <c r="AC31" i="2" a="1"/>
  <c r="AC31" i="2" s="1"/>
  <c r="AA33" i="2" a="1"/>
  <c r="AA33" i="2" s="1"/>
  <c r="AD36" i="2" a="1"/>
  <c r="AD36" i="2" s="1"/>
  <c r="S42" i="2" a="1"/>
  <c r="S42" i="2" s="1"/>
  <c r="G22" i="2" a="1"/>
  <c r="G22" i="2" s="1"/>
  <c r="AD47" i="2" a="1"/>
  <c r="AD47" i="2" s="1"/>
  <c r="I35" i="2" a="1"/>
  <c r="I35" i="2" s="1"/>
  <c r="U23" i="2" a="1"/>
  <c r="U23" i="2" s="1"/>
  <c r="U54" i="2" a="1"/>
  <c r="U54" i="2" s="1"/>
  <c r="AE33" i="2" a="1"/>
  <c r="AE33" i="2" s="1"/>
  <c r="AB29" i="2" a="1"/>
  <c r="AB29" i="2" s="1"/>
  <c r="R27" i="2" a="1"/>
  <c r="R27" i="2" s="1"/>
  <c r="AB22" i="2" a="1"/>
  <c r="AB22" i="2" s="1"/>
  <c r="F28" i="2" a="1"/>
  <c r="F28" i="2" s="1"/>
  <c r="AD33" i="2" a="1"/>
  <c r="AD33" i="2" s="1"/>
  <c r="AA38" i="2" a="1"/>
  <c r="AA38" i="2" s="1"/>
  <c r="AE43" i="2" a="1"/>
  <c r="AE43" i="2" s="1"/>
  <c r="Q30" i="2" a="1"/>
  <c r="Q30" i="2" s="1"/>
  <c r="O44" i="2" a="1"/>
  <c r="O44" i="2" s="1"/>
  <c r="AC58" i="2" a="1"/>
  <c r="AC58" i="2" s="1"/>
  <c r="R24" i="2" a="1"/>
  <c r="R24" i="2" s="1"/>
  <c r="I21" i="2" a="1"/>
  <c r="I21" i="2" s="1"/>
  <c r="R33" i="2" a="1"/>
  <c r="R33" i="2" s="1"/>
  <c r="F56" i="2" a="1"/>
  <c r="F56" i="2" s="1"/>
  <c r="F36" i="2" a="1"/>
  <c r="F36" i="2" s="1"/>
  <c r="AB37" i="2" a="1"/>
  <c r="AB37" i="2" s="1"/>
  <c r="AB36" i="2" a="1"/>
  <c r="AB36" i="2" s="1"/>
  <c r="AD23" i="2" a="1"/>
  <c r="AD23" i="2" s="1"/>
  <c r="R42" i="2" a="1"/>
  <c r="R42" i="2" s="1"/>
  <c r="AA21" i="2" a="1"/>
  <c r="AA21" i="2" s="1"/>
  <c r="AD29" i="2" a="1"/>
  <c r="AD29" i="2" s="1"/>
  <c r="G35" i="2" a="1"/>
  <c r="G35" i="2" s="1"/>
  <c r="AB58" i="2" a="1"/>
  <c r="AB58" i="2" s="1"/>
  <c r="I34" i="2" a="1"/>
  <c r="I34" i="2" s="1"/>
  <c r="AB53" i="2" a="1"/>
  <c r="AB53" i="2" s="1"/>
  <c r="O41" i="2" a="1"/>
  <c r="O41" i="2" s="1"/>
  <c r="I28" i="2" a="1"/>
  <c r="I28" i="2" s="1"/>
  <c r="P60" i="2" a="1"/>
  <c r="P60" i="2" s="1"/>
  <c r="R39" i="2" a="1"/>
  <c r="R39" i="2" s="1"/>
  <c r="E27" i="2" a="1"/>
  <c r="E27" i="2" s="1"/>
  <c r="F43" i="2" a="1"/>
  <c r="F43" i="2" s="1"/>
  <c r="S35" i="2" a="1"/>
  <c r="S35" i="2" s="1"/>
  <c r="AD51" i="2" a="1"/>
  <c r="AD51" i="2" s="1"/>
  <c r="AE45" i="2" a="1"/>
  <c r="AE45" i="2" s="1"/>
  <c r="AB57" i="2" a="1"/>
  <c r="AB57" i="2" s="1"/>
  <c r="AA24" i="2" a="1"/>
  <c r="AA24" i="2" s="1"/>
  <c r="O46" i="2" a="1"/>
  <c r="O46" i="2" s="1"/>
  <c r="I40" i="2" a="1"/>
  <c r="I40" i="2" s="1"/>
  <c r="O26" i="2" a="1"/>
  <c r="O26" i="2" s="1"/>
  <c r="P45" i="2" a="1"/>
  <c r="P45" i="2" s="1"/>
  <c r="V41" i="2" a="1"/>
  <c r="V41" i="2" s="1"/>
  <c r="F38" i="2" a="1"/>
  <c r="F38" i="2" s="1"/>
  <c r="R50" i="2" a="1"/>
  <c r="R50" i="2" s="1"/>
  <c r="AE47" i="2" a="1"/>
  <c r="AE47" i="2" s="1"/>
  <c r="Q54" i="2" a="1"/>
  <c r="Q54" i="2" s="1"/>
  <c r="AB52" i="2" a="1"/>
  <c r="AB52" i="2" s="1"/>
  <c r="AB35" i="2" a="1"/>
  <c r="AB35" i="2" s="1"/>
  <c r="AC46" i="2" a="1"/>
  <c r="AC46" i="2" s="1"/>
  <c r="AE48" i="2" a="1"/>
  <c r="AE48" i="2" s="1"/>
  <c r="E26" i="2" a="1"/>
  <c r="E26" i="2" s="1"/>
  <c r="G43" i="2" a="1"/>
  <c r="G43" i="2" s="1"/>
  <c r="I59" i="2" a="1"/>
  <c r="I59" i="2" s="1"/>
  <c r="S44" i="2" a="1"/>
  <c r="S44" i="2" s="1"/>
  <c r="I57" i="2" a="1"/>
  <c r="I57" i="2" s="1"/>
  <c r="F41" i="2" a="1"/>
  <c r="F41" i="2" s="1"/>
  <c r="V46" i="2" a="1"/>
  <c r="V46" i="2" s="1"/>
  <c r="V32" i="2" a="1"/>
  <c r="V32" i="2" s="1"/>
  <c r="R41" i="2" a="1"/>
  <c r="R41" i="2" s="1"/>
  <c r="AA41" i="2" a="1"/>
  <c r="AA41" i="2" s="1"/>
  <c r="AA29" i="2" a="1"/>
  <c r="AA29" i="2" s="1"/>
  <c r="AE57" i="2" a="1"/>
  <c r="AE57" i="2" s="1"/>
  <c r="AA39" i="2" a="1"/>
  <c r="AA39" i="2" s="1"/>
  <c r="V22" i="2" a="1"/>
  <c r="V22" i="2" s="1"/>
  <c r="G46" i="2" a="1"/>
  <c r="G46" i="2" s="1"/>
  <c r="P42" i="2" a="1"/>
  <c r="P42" i="2" s="1"/>
  <c r="O49" i="2" a="1"/>
  <c r="O49" i="2" s="1"/>
  <c r="AC60" i="2" a="1"/>
  <c r="AC60" i="2" s="1"/>
  <c r="AC41" i="2" a="1"/>
  <c r="AC41" i="2" s="1"/>
  <c r="V45" i="2" a="1"/>
  <c r="V45" i="2" s="1"/>
  <c r="F24" i="2" a="1"/>
  <c r="F24" i="2" s="1"/>
  <c r="Q23" i="2" a="1"/>
  <c r="Q23" i="2" s="1"/>
  <c r="V42" i="2" a="1"/>
  <c r="V42" i="2" s="1"/>
  <c r="R36" i="2" a="1"/>
  <c r="R36" i="2" s="1"/>
  <c r="R29" i="2" a="1"/>
  <c r="R29" i="2" s="1"/>
  <c r="G60" i="2" a="1"/>
  <c r="G60" i="2" s="1"/>
  <c r="AE46" i="2" a="1"/>
  <c r="AE46" i="2" s="1"/>
  <c r="AA48" i="2" a="1"/>
  <c r="AA48" i="2" s="1"/>
  <c r="S26" i="2" a="1"/>
  <c r="S26" i="2" s="1"/>
  <c r="AC30" i="2" a="1"/>
  <c r="AC30" i="2" s="1"/>
  <c r="AE44" i="2" a="1"/>
  <c r="AE44" i="2" s="1"/>
  <c r="P58" i="2" a="1"/>
  <c r="P58" i="2" s="1"/>
  <c r="O34" i="2" a="1"/>
  <c r="O34" i="2" s="1"/>
  <c r="S36" i="2" a="1"/>
  <c r="S36" i="2" s="1"/>
  <c r="S50" i="2" a="1"/>
  <c r="S50" i="2" s="1"/>
  <c r="H54" i="2" a="1"/>
  <c r="H54" i="2" s="1"/>
  <c r="AA55" i="2" a="1"/>
  <c r="AA55" i="2" s="1"/>
  <c r="AD39" i="2" a="1"/>
  <c r="AD39" i="2" s="1"/>
  <c r="AC44" i="2" a="1"/>
  <c r="AC44" i="2" s="1"/>
  <c r="AD59" i="2" a="1"/>
  <c r="AD59" i="2" s="1"/>
  <c r="R44" i="2" a="1"/>
  <c r="R44" i="2" s="1"/>
  <c r="R58" i="2" a="1"/>
  <c r="R58" i="2" s="1"/>
  <c r="AB44" i="2" a="1"/>
  <c r="AB44" i="2" s="1"/>
  <c r="E29" i="2" a="1"/>
  <c r="E29" i="2" s="1"/>
  <c r="G39" i="2" a="1"/>
  <c r="G39" i="2" s="1"/>
  <c r="S23" i="2" a="1"/>
  <c r="S23" i="2" s="1"/>
  <c r="S41" i="2" a="1"/>
  <c r="S41" i="2" s="1"/>
  <c r="Q52" i="2" a="1"/>
  <c r="Q52" i="2" s="1"/>
  <c r="AD22" i="2" a="1"/>
  <c r="AD22" i="2" s="1"/>
  <c r="C33" i="1"/>
  <c r="AJ33" i="1" s="1"/>
  <c r="Q60" i="1"/>
  <c r="Q44" i="1"/>
  <c r="Q56" i="1"/>
  <c r="Q40" i="1"/>
  <c r="Q62" i="1"/>
  <c r="Q59" i="1"/>
  <c r="Q46" i="1"/>
  <c r="Q43" i="1"/>
  <c r="Q36" i="1"/>
  <c r="Q49" i="1"/>
  <c r="Q47" i="1"/>
  <c r="Q37" i="1"/>
  <c r="Q66" i="1"/>
  <c r="Q45" i="1"/>
  <c r="Q32" i="1"/>
  <c r="Q65" i="1"/>
  <c r="Q51" i="1"/>
  <c r="Q42" i="1"/>
  <c r="Q33" i="1"/>
  <c r="Q64" i="1"/>
  <c r="Q55" i="1"/>
  <c r="Q50" i="1"/>
  <c r="Q34" i="1"/>
  <c r="Q63" i="1"/>
  <c r="Q53" i="1"/>
  <c r="Q31" i="1"/>
  <c r="Q54" i="1"/>
  <c r="Q41" i="1"/>
  <c r="Q57" i="1"/>
  <c r="Q52" i="1"/>
  <c r="Q35" i="1"/>
  <c r="Q39" i="1"/>
  <c r="Q48" i="1"/>
  <c r="Q58" i="1"/>
  <c r="Q61" i="1"/>
  <c r="Q38" i="1"/>
  <c r="E31" i="1"/>
  <c r="N29" i="1"/>
  <c r="AC29" i="1" s="1"/>
  <c r="V27" i="2" l="1" a="1"/>
  <c r="V27" i="2" s="1"/>
  <c r="U51" i="2" a="1"/>
  <c r="U51" i="2" s="1"/>
  <c r="O47" i="2" a="1"/>
  <c r="O47" i="2" s="1"/>
  <c r="P35" i="2" a="1"/>
  <c r="P35" i="2" s="1"/>
  <c r="E25" i="2" a="1"/>
  <c r="E25" i="2" s="1"/>
  <c r="H60" i="2" a="1"/>
  <c r="H60" i="2" s="1"/>
  <c r="O53" i="2" a="1"/>
  <c r="O53" i="2" s="1"/>
  <c r="H34" i="2" a="1"/>
  <c r="H34" i="2" s="1"/>
  <c r="U59" i="2" a="1"/>
  <c r="U59" i="2" s="1"/>
  <c r="O48" i="2" a="1"/>
  <c r="O48" i="2" s="1"/>
  <c r="U42" i="2" a="1"/>
  <c r="U42" i="2" s="1"/>
  <c r="F21" i="2" a="1"/>
  <c r="F21" i="2" s="1"/>
  <c r="E46" i="2" a="1"/>
  <c r="E46" i="2" s="1"/>
  <c r="T40" i="2" a="1"/>
  <c r="T40" i="2" s="1"/>
  <c r="Q53" i="2" a="1"/>
  <c r="Q53" i="2" s="1"/>
  <c r="O59" i="2" a="1"/>
  <c r="O59" i="2" s="1"/>
  <c r="V30" i="2" a="1"/>
  <c r="V30" i="2" s="1"/>
  <c r="G51" i="2" a="1"/>
  <c r="G51" i="2" s="1"/>
  <c r="R38" i="2" a="1"/>
  <c r="R38" i="2" s="1"/>
  <c r="V21" i="2" a="1"/>
  <c r="V21" i="2" s="1"/>
  <c r="H49" i="2" a="1"/>
  <c r="H49" i="2" s="1"/>
  <c r="V40" i="2" a="1"/>
  <c r="V40" i="2" s="1"/>
  <c r="U53" i="2" a="1"/>
  <c r="U53" i="2" s="1"/>
  <c r="E34" i="2" a="1"/>
  <c r="E34" i="2" s="1"/>
  <c r="P51" i="2" a="1"/>
  <c r="P51" i="2" s="1"/>
  <c r="U40" i="2" a="1"/>
  <c r="U40" i="2" s="1"/>
  <c r="S60" i="2" a="1"/>
  <c r="S60" i="2" s="1"/>
  <c r="P59" i="2" a="1"/>
  <c r="P59" i="2" s="1"/>
  <c r="H38" i="2" a="1"/>
  <c r="H38" i="2" s="1"/>
  <c r="T37" i="2" a="1"/>
  <c r="T37" i="2" s="1"/>
  <c r="Q45" i="2" a="1"/>
  <c r="Q45" i="2" s="1"/>
  <c r="U21" i="2" a="1"/>
  <c r="U21" i="2" s="1"/>
  <c r="O36" i="2" a="1"/>
  <c r="O36" i="2" s="1"/>
  <c r="Q35" i="2" a="1"/>
  <c r="Q35" i="2" s="1"/>
  <c r="U41" i="2" a="1"/>
  <c r="U41" i="2" s="1"/>
  <c r="I41" i="2" a="1"/>
  <c r="I41" i="2" s="1"/>
  <c r="P31" i="2" a="1"/>
  <c r="P31" i="2" s="1"/>
  <c r="S57" i="2" a="1"/>
  <c r="S57" i="2" s="1"/>
  <c r="S59" i="2" a="1"/>
  <c r="S59" i="2" s="1"/>
  <c r="G59" i="2" a="1"/>
  <c r="G59" i="2" s="1"/>
  <c r="V25" i="2" a="1"/>
  <c r="V25" i="2" s="1"/>
  <c r="U32" i="2" a="1"/>
  <c r="U32" i="2" s="1"/>
  <c r="F34" i="2" a="1"/>
  <c r="F34" i="2" s="1"/>
  <c r="U55" i="2" a="1"/>
  <c r="U55" i="2" s="1"/>
  <c r="I26" i="2" a="1"/>
  <c r="I26" i="2" s="1"/>
  <c r="G28" i="2" a="1"/>
  <c r="G28" i="2" s="1"/>
  <c r="E58" i="2" a="1"/>
  <c r="E58" i="2" s="1"/>
  <c r="I42" i="2" a="1"/>
  <c r="I42" i="2" s="1"/>
  <c r="T45" i="2" a="1"/>
  <c r="T45" i="2" s="1"/>
  <c r="G27" i="2" a="1"/>
  <c r="G27" i="2" s="1"/>
  <c r="V52" i="2" a="1"/>
  <c r="V52" i="2" s="1"/>
  <c r="U49" i="2" a="1"/>
  <c r="U49" i="2" s="1"/>
  <c r="F37" i="2" a="1"/>
  <c r="F37" i="2" s="1"/>
  <c r="O38" i="2" a="1"/>
  <c r="O38" i="2" s="1"/>
  <c r="P40" i="2" a="1"/>
  <c r="P40" i="2" s="1"/>
  <c r="T43" i="2" a="1"/>
  <c r="T43" i="2" s="1"/>
  <c r="V59" i="2" a="1"/>
  <c r="V59" i="2" s="1"/>
  <c r="V43" i="2" a="1"/>
  <c r="V43" i="2" s="1"/>
  <c r="U22" i="2" a="1"/>
  <c r="U22" i="2" s="1"/>
  <c r="E35" i="2" a="1"/>
  <c r="E35" i="2" s="1"/>
  <c r="S54" i="2" a="1"/>
  <c r="S54" i="2" s="1"/>
  <c r="Q56" i="2" a="1"/>
  <c r="Q56" i="2" s="1"/>
  <c r="H46" i="2" a="1"/>
  <c r="H46" i="2" s="1"/>
  <c r="E39" i="2" a="1"/>
  <c r="E39" i="2" s="1"/>
  <c r="O60" i="2" a="1"/>
  <c r="O60" i="2" s="1"/>
  <c r="H57" i="2" a="1"/>
  <c r="H57" i="2" s="1"/>
  <c r="Q49" i="2" a="1"/>
  <c r="Q49" i="2" s="1"/>
  <c r="H21" i="2" a="1"/>
  <c r="H21" i="2" s="1"/>
  <c r="G55" i="2" a="1"/>
  <c r="G55" i="2" s="1"/>
  <c r="Q21" i="2" a="1"/>
  <c r="Q21" i="2" s="1"/>
  <c r="U48" i="2" a="1"/>
  <c r="U48" i="2" s="1"/>
  <c r="R28" i="2" a="1"/>
  <c r="R28" i="2" s="1"/>
  <c r="P46" i="2" a="1"/>
  <c r="P46" i="2" s="1"/>
  <c r="T38" i="2" a="1"/>
  <c r="T38" i="2" s="1"/>
  <c r="E52" i="2" a="1"/>
  <c r="E52" i="2" s="1"/>
  <c r="G49" i="2" a="1"/>
  <c r="G49" i="2" s="1"/>
  <c r="E21" i="2" a="1"/>
  <c r="E21" i="2" s="1"/>
  <c r="E32" i="1" s="1"/>
  <c r="T33" i="2" a="1"/>
  <c r="T33" i="2" s="1"/>
  <c r="S49" i="2" a="1"/>
  <c r="S49" i="2" s="1"/>
  <c r="V53" i="2" a="1"/>
  <c r="V53" i="2" s="1"/>
  <c r="I37" i="2" a="1"/>
  <c r="I37" i="2" s="1"/>
  <c r="H41" i="2" a="1"/>
  <c r="H41" i="2" s="1"/>
  <c r="U31" i="2" a="1"/>
  <c r="U31" i="2" s="1"/>
  <c r="O52" i="2" a="1"/>
  <c r="O52" i="2" s="1"/>
  <c r="V51" i="2" a="1"/>
  <c r="V51" i="2" s="1"/>
  <c r="S28" i="2" a="1"/>
  <c r="S28" i="2" s="1"/>
  <c r="T60" i="2" a="1"/>
  <c r="T60" i="2" s="1"/>
  <c r="V60" i="2" a="1"/>
  <c r="V60" i="2" s="1"/>
  <c r="F25" i="2" a="1"/>
  <c r="F25" i="2" s="1"/>
  <c r="U38" i="2" a="1"/>
  <c r="U38" i="2" s="1"/>
  <c r="U30" i="2" a="1"/>
  <c r="U30" i="2" s="1"/>
  <c r="T52" i="2" a="1"/>
  <c r="T52" i="2" s="1"/>
  <c r="S52" i="2" a="1"/>
  <c r="S52" i="2" s="1"/>
  <c r="T28" i="2" a="1"/>
  <c r="T28" i="2" s="1"/>
  <c r="U60" i="2" a="1"/>
  <c r="U60" i="2" s="1"/>
  <c r="P37" i="2" a="1"/>
  <c r="P37" i="2" s="1"/>
  <c r="P38" i="2" a="1"/>
  <c r="P38" i="2" s="1"/>
  <c r="R32" i="2" a="1"/>
  <c r="R32" i="2" s="1"/>
  <c r="O23" i="2" a="1"/>
  <c r="O23" i="2" s="1"/>
  <c r="E59" i="2" a="1"/>
  <c r="E59" i="2" s="1"/>
  <c r="G58" i="2" a="1"/>
  <c r="G58" i="2" s="1"/>
  <c r="F35" i="2" a="1"/>
  <c r="F35" i="2" s="1"/>
  <c r="O55" i="2" a="1"/>
  <c r="O55" i="2" s="1"/>
  <c r="P21" i="2" a="1"/>
  <c r="P21" i="2" s="1"/>
  <c r="S32" i="1" s="1"/>
  <c r="G37" i="2" a="1"/>
  <c r="G37" i="2" s="1"/>
  <c r="H44" i="2" a="1"/>
  <c r="H44" i="2" s="1"/>
  <c r="T26" i="2" a="1"/>
  <c r="T26" i="2" s="1"/>
  <c r="H24" i="2" a="1"/>
  <c r="H24" i="2" s="1"/>
  <c r="P56" i="2" a="1"/>
  <c r="P56" i="2" s="1"/>
  <c r="S25" i="2" a="1"/>
  <c r="S25" i="2" s="1"/>
  <c r="O35" i="2" a="1"/>
  <c r="O35" i="2" s="1"/>
  <c r="V26" i="2" a="1"/>
  <c r="V26" i="2" s="1"/>
  <c r="U33" i="2" a="1"/>
  <c r="U33" i="2" s="1"/>
  <c r="S47" i="2" a="1"/>
  <c r="S47" i="2" s="1"/>
  <c r="G53" i="2" a="1"/>
  <c r="G53" i="2" s="1"/>
  <c r="I36" i="2" a="1"/>
  <c r="I36" i="2" s="1"/>
  <c r="I51" i="2" a="1"/>
  <c r="I51" i="2" s="1"/>
  <c r="Q57" i="2" a="1"/>
  <c r="Q57" i="2" s="1"/>
  <c r="E53" i="2" a="1"/>
  <c r="E53" i="2" s="1"/>
  <c r="G44" i="2" a="1"/>
  <c r="G44" i="2" s="1"/>
  <c r="T59" i="2" a="1"/>
  <c r="T59" i="2" s="1"/>
  <c r="R37" i="2" a="1"/>
  <c r="R37" i="2" s="1"/>
  <c r="U50" i="2" a="1"/>
  <c r="U50" i="2" s="1"/>
  <c r="V55" i="2" a="1"/>
  <c r="V55" i="2" s="1"/>
  <c r="V58" i="2" a="1"/>
  <c r="V58" i="2" s="1"/>
  <c r="S32" i="2" a="1"/>
  <c r="S32" i="2" s="1"/>
  <c r="G36" i="2" a="1"/>
  <c r="G36" i="2" s="1"/>
  <c r="O40" i="2" a="1"/>
  <c r="O40" i="2" s="1"/>
  <c r="F48" i="2" a="1"/>
  <c r="F48" i="2" s="1"/>
  <c r="G33" i="2" a="1"/>
  <c r="G33" i="2" s="1"/>
  <c r="H45" i="2" a="1"/>
  <c r="H45" i="2" s="1"/>
  <c r="V36" i="2" a="1"/>
  <c r="V36" i="2" s="1"/>
  <c r="T32" i="2" a="1"/>
  <c r="T32" i="2" s="1"/>
  <c r="P26" i="2" a="1"/>
  <c r="P26" i="2" s="1"/>
  <c r="G52" i="2" a="1"/>
  <c r="G52" i="2" s="1"/>
  <c r="R51" i="2" a="1"/>
  <c r="R51" i="2" s="1"/>
  <c r="H30" i="2" a="1"/>
  <c r="H30" i="2" s="1"/>
  <c r="E55" i="2" a="1"/>
  <c r="E55" i="2" s="1"/>
  <c r="G54" i="2" a="1"/>
  <c r="G54" i="2" s="1"/>
  <c r="S55" i="2" a="1"/>
  <c r="S55" i="2" s="1"/>
  <c r="I30" i="2" a="1"/>
  <c r="I30" i="2" s="1"/>
  <c r="T46" i="2" a="1"/>
  <c r="T46" i="2" s="1"/>
  <c r="I27" i="2" a="1"/>
  <c r="I27" i="2" s="1"/>
  <c r="T57" i="2" a="1"/>
  <c r="T57" i="2" s="1"/>
  <c r="Q34" i="2" a="1"/>
  <c r="Q34" i="2" s="1"/>
  <c r="P54" i="2" a="1"/>
  <c r="P54" i="2" s="1"/>
  <c r="U24" i="2" a="1"/>
  <c r="U24" i="2" s="1"/>
  <c r="P34" i="2" a="1"/>
  <c r="P34" i="2" s="1"/>
  <c r="P25" i="2" a="1"/>
  <c r="P25" i="2" s="1"/>
  <c r="E47" i="2" a="1"/>
  <c r="E47" i="2" s="1"/>
  <c r="Q32" i="2" a="1"/>
  <c r="Q32" i="2" s="1"/>
  <c r="R34" i="2" a="1"/>
  <c r="R34" i="2" s="1"/>
  <c r="Q25" i="2" a="1"/>
  <c r="Q25" i="2" s="1"/>
  <c r="F29" i="2" a="1"/>
  <c r="F29" i="2" s="1"/>
  <c r="O54" i="2" a="1"/>
  <c r="O54" i="2" s="1"/>
  <c r="H27" i="2" a="1"/>
  <c r="H27" i="2" s="1"/>
  <c r="F60" i="2" a="1"/>
  <c r="F60" i="2" s="1"/>
  <c r="O56" i="2" a="1"/>
  <c r="O56" i="2" s="1"/>
  <c r="I56" i="2" a="1"/>
  <c r="I56" i="2" s="1"/>
  <c r="T30" i="2" a="1"/>
  <c r="T30" i="2" s="1"/>
  <c r="T23" i="2" a="1"/>
  <c r="T23" i="2" s="1"/>
  <c r="S33" i="2" a="1"/>
  <c r="S33" i="2" s="1"/>
  <c r="U44" i="2" a="1"/>
  <c r="U44" i="2" s="1"/>
  <c r="U26" i="2" a="1"/>
  <c r="U26" i="2" s="1"/>
  <c r="U46" i="2" a="1"/>
  <c r="U46" i="2" s="1"/>
  <c r="S31" i="2" a="1"/>
  <c r="S31" i="2" s="1"/>
  <c r="I44" i="2" a="1"/>
  <c r="I44" i="2" s="1"/>
  <c r="S51" i="2" a="1"/>
  <c r="S51" i="2" s="1"/>
  <c r="F23" i="2" a="1"/>
  <c r="F23" i="2" s="1"/>
  <c r="T42" i="2" a="1"/>
  <c r="T42" i="2" s="1"/>
  <c r="Q60" i="2" a="1"/>
  <c r="Q60" i="2" s="1"/>
  <c r="V44" i="2" a="1"/>
  <c r="V44" i="2" s="1"/>
  <c r="Q37" i="2" a="1"/>
  <c r="Q37" i="2" s="1"/>
  <c r="I31" i="2" a="1"/>
  <c r="I31" i="2" s="1"/>
  <c r="Q55" i="2" a="1"/>
  <c r="Q55" i="2" s="1"/>
  <c r="F50" i="2" a="1"/>
  <c r="F50" i="2" s="1"/>
  <c r="Q36" i="2" a="1"/>
  <c r="Q36" i="2" s="1"/>
  <c r="Q22" i="2" a="1"/>
  <c r="Q22" i="2" s="1"/>
  <c r="H58" i="2" a="1"/>
  <c r="H58" i="2" s="1"/>
  <c r="I25" i="2" a="1"/>
  <c r="I25" i="2" s="1"/>
  <c r="F46" i="2" a="1"/>
  <c r="F46" i="2" s="1"/>
  <c r="E48" i="2" a="1"/>
  <c r="E48" i="2" s="1"/>
  <c r="G32" i="2" a="1"/>
  <c r="G32" i="2" s="1"/>
  <c r="P49" i="2" a="1"/>
  <c r="P49" i="2" s="1"/>
  <c r="S38" i="2" a="1"/>
  <c r="S38" i="2" s="1"/>
  <c r="O25" i="2" a="1"/>
  <c r="O25" i="2" s="1"/>
  <c r="R22" i="2" a="1"/>
  <c r="R22" i="2" s="1"/>
  <c r="R52" i="2" a="1"/>
  <c r="R52" i="2" s="1"/>
  <c r="T54" i="2" a="1"/>
  <c r="T54" i="2" s="1"/>
  <c r="H39" i="2" a="1"/>
  <c r="H39" i="2" s="1"/>
  <c r="O30" i="2" a="1"/>
  <c r="O30" i="2" s="1"/>
  <c r="H42" i="2" a="1"/>
  <c r="H42" i="2" s="1"/>
  <c r="F30" i="2" a="1"/>
  <c r="F30" i="2" s="1"/>
  <c r="U35" i="2" a="1"/>
  <c r="U35" i="2" s="1"/>
  <c r="F27" i="2" a="1"/>
  <c r="F27" i="2" s="1"/>
  <c r="F58" i="2" a="1"/>
  <c r="F58" i="2" s="1"/>
  <c r="P43" i="2" a="1"/>
  <c r="P43" i="2" s="1"/>
  <c r="U56" i="2" a="1"/>
  <c r="U56" i="2" s="1"/>
  <c r="E28" i="2" a="1"/>
  <c r="E28" i="2" s="1"/>
  <c r="S34" i="2" a="1"/>
  <c r="S34" i="2" s="1"/>
  <c r="S37" i="2" a="1"/>
  <c r="S37" i="2" s="1"/>
  <c r="P52" i="2" a="1"/>
  <c r="P52" i="2" s="1"/>
  <c r="P33" i="2" a="1"/>
  <c r="P33" i="2" s="1"/>
  <c r="U58" i="2" a="1"/>
  <c r="U58" i="2" s="1"/>
  <c r="V24" i="2" a="1"/>
  <c r="V24" i="2" s="1"/>
  <c r="E50" i="2" a="1"/>
  <c r="E50" i="2" s="1"/>
  <c r="F40" i="2" a="1"/>
  <c r="F40" i="2" s="1"/>
  <c r="Q38" i="2" a="1"/>
  <c r="Q38" i="2" s="1"/>
  <c r="Q47" i="2" a="1"/>
  <c r="Q47" i="2" s="1"/>
  <c r="O28" i="2" a="1"/>
  <c r="O28" i="2" s="1"/>
  <c r="P27" i="2" a="1"/>
  <c r="P27" i="2" s="1"/>
  <c r="G57" i="2" a="1"/>
  <c r="G57" i="2" s="1"/>
  <c r="V34" i="2" a="1"/>
  <c r="V34" i="2" s="1"/>
  <c r="R55" i="2" a="1"/>
  <c r="R55" i="2" s="1"/>
  <c r="I45" i="2" a="1"/>
  <c r="I45" i="2" s="1"/>
  <c r="G48" i="2" a="1"/>
  <c r="G48" i="2" s="1"/>
  <c r="S21" i="2" a="1"/>
  <c r="S21" i="2" s="1"/>
  <c r="U32" i="1" s="1"/>
  <c r="Q31" i="2" a="1"/>
  <c r="Q31" i="2" s="1"/>
  <c r="E51" i="2" a="1"/>
  <c r="E51" i="2" s="1"/>
  <c r="T50" i="2" a="1"/>
  <c r="T50" i="2" s="1"/>
  <c r="P53" i="2" a="1"/>
  <c r="P53" i="2" s="1"/>
  <c r="V31" i="2" a="1"/>
  <c r="V31" i="2" s="1"/>
  <c r="Q33" i="2" a="1"/>
  <c r="Q33" i="2" s="1"/>
  <c r="I54" i="2" a="1"/>
  <c r="I54" i="2" s="1"/>
  <c r="G56" i="2" a="1"/>
  <c r="G56" i="2" s="1"/>
  <c r="S40" i="2" a="1"/>
  <c r="S40" i="2" s="1"/>
  <c r="P50" i="2" a="1"/>
  <c r="P50" i="2" s="1"/>
  <c r="V28" i="2" a="1"/>
  <c r="V28" i="2" s="1"/>
  <c r="P24" i="2" a="1"/>
  <c r="P24" i="2" s="1"/>
  <c r="F54" i="2" a="1"/>
  <c r="F54" i="2" s="1"/>
  <c r="F49" i="2" a="1"/>
  <c r="F49" i="2" s="1"/>
  <c r="G38" i="2" a="1"/>
  <c r="G38" i="2" s="1"/>
  <c r="S29" i="2" a="1"/>
  <c r="S29" i="2" s="1"/>
  <c r="F32" i="2" a="1"/>
  <c r="F32" i="2" s="1"/>
  <c r="Q26" i="2" a="1"/>
  <c r="Q26" i="2" s="1"/>
  <c r="E40" i="2" a="1"/>
  <c r="E40" i="2" s="1"/>
  <c r="R30" i="2" a="1"/>
  <c r="R30" i="2" s="1"/>
  <c r="I47" i="2" a="1"/>
  <c r="I47" i="2" s="1"/>
  <c r="P32" i="2" a="1"/>
  <c r="P32" i="2" s="1"/>
  <c r="G47" i="2" a="1"/>
  <c r="G47" i="2" s="1"/>
  <c r="P30" i="2" a="1"/>
  <c r="P30" i="2" s="1"/>
  <c r="V38" i="2" a="1"/>
  <c r="V38" i="2" s="1"/>
  <c r="G24" i="2" a="1"/>
  <c r="G24" i="2" s="1"/>
  <c r="F42" i="2" a="1"/>
  <c r="F42" i="2" s="1"/>
  <c r="T51" i="2" a="1"/>
  <c r="T51" i="2" s="1"/>
  <c r="I50" i="2" a="1"/>
  <c r="I50" i="2" s="1"/>
  <c r="R59" i="2" a="1"/>
  <c r="R59" i="2" s="1"/>
  <c r="I38" i="2" a="1"/>
  <c r="I38" i="2" s="1"/>
  <c r="R60" i="2" a="1"/>
  <c r="R60" i="2" s="1"/>
  <c r="T35" i="2" a="1"/>
  <c r="T35" i="2" s="1"/>
  <c r="Q50" i="2" a="1"/>
  <c r="Q50" i="2" s="1"/>
  <c r="T48" i="2" a="1"/>
  <c r="T48" i="2" s="1"/>
  <c r="G42" i="2" a="1"/>
  <c r="G42" i="2" s="1"/>
  <c r="H48" i="2" a="1"/>
  <c r="H48" i="2" s="1"/>
  <c r="R21" i="2" a="1"/>
  <c r="R21" i="2" s="1"/>
  <c r="F45" i="2" a="1"/>
  <c r="F45" i="2" s="1"/>
  <c r="I55" i="2" a="1"/>
  <c r="I55" i="2" s="1"/>
  <c r="T49" i="2" a="1"/>
  <c r="T49" i="2" s="1"/>
  <c r="U25" i="2" a="1"/>
  <c r="U25" i="2" s="1"/>
  <c r="F31" i="2" a="1"/>
  <c r="F31" i="2" s="1"/>
  <c r="U39" i="2" a="1"/>
  <c r="U39" i="2" s="1"/>
  <c r="R53" i="2" a="1"/>
  <c r="R53" i="2" s="1"/>
  <c r="I23" i="2" a="1"/>
  <c r="I23" i="2" s="1"/>
  <c r="O58" i="2" a="1"/>
  <c r="O58" i="2" s="1"/>
  <c r="U45" i="2" a="1"/>
  <c r="U45" i="2" s="1"/>
  <c r="T55" i="2" a="1"/>
  <c r="T55" i="2" s="1"/>
  <c r="O31" i="2" a="1"/>
  <c r="O31" i="2" s="1"/>
  <c r="S43" i="2" a="1"/>
  <c r="S43" i="2" s="1"/>
  <c r="S39" i="2" a="1"/>
  <c r="S39" i="2" s="1"/>
  <c r="H32" i="2" a="1"/>
  <c r="H32" i="2" s="1"/>
  <c r="P28" i="2" a="1"/>
  <c r="P28" i="2" s="1"/>
  <c r="Q40" i="2" a="1"/>
  <c r="Q40" i="2" s="1"/>
  <c r="V23" i="2" a="1"/>
  <c r="V23" i="2" s="1"/>
  <c r="Q51" i="2" a="1"/>
  <c r="Q51" i="2" s="1"/>
  <c r="V50" i="2" a="1"/>
  <c r="V50" i="2" s="1"/>
  <c r="G34" i="2" a="1"/>
  <c r="G34" i="2" s="1"/>
  <c r="H59" i="2" a="1"/>
  <c r="H59" i="2" s="1"/>
  <c r="R57" i="2" a="1"/>
  <c r="R57" i="2" s="1"/>
  <c r="H26" i="2" a="1"/>
  <c r="H26" i="2" s="1"/>
  <c r="I24" i="2" a="1"/>
  <c r="I24" i="2" s="1"/>
  <c r="S45" i="2" a="1"/>
  <c r="S45" i="2" s="1"/>
  <c r="O32" i="2" a="1"/>
  <c r="O32" i="2" s="1"/>
  <c r="G23" i="2" a="1"/>
  <c r="G23" i="2" s="1"/>
  <c r="S24" i="2" a="1"/>
  <c r="S24" i="2" s="1"/>
  <c r="I60" i="2" a="1"/>
  <c r="I60" i="2" s="1"/>
  <c r="H36" i="2" a="1"/>
  <c r="H36" i="2" s="1"/>
  <c r="O29" i="2" a="1"/>
  <c r="O29" i="2" s="1"/>
  <c r="I32" i="2" a="1"/>
  <c r="I32" i="2" s="1"/>
  <c r="I46" i="2" a="1"/>
  <c r="I46" i="2" s="1"/>
  <c r="F22" i="2" a="1"/>
  <c r="F22" i="2" s="1"/>
  <c r="H53" i="2" a="1"/>
  <c r="H53" i="2" s="1"/>
  <c r="O57" i="2" a="1"/>
  <c r="O57" i="2" s="1"/>
  <c r="V56" i="2" a="1"/>
  <c r="V56" i="2" s="1"/>
  <c r="H35" i="2" a="1"/>
  <c r="H35" i="2" s="1"/>
  <c r="Q42" i="2" a="1"/>
  <c r="Q42" i="2" s="1"/>
  <c r="O42" i="2" a="1"/>
  <c r="O42" i="2" s="1"/>
  <c r="G30" i="2" a="1"/>
  <c r="G30" i="2" s="1"/>
  <c r="E56" i="2" a="1"/>
  <c r="E56" i="2" s="1"/>
  <c r="O51" i="2" a="1"/>
  <c r="O51" i="2" s="1"/>
  <c r="O24" i="2" a="1"/>
  <c r="O24" i="2" s="1"/>
  <c r="P22" i="2" a="1"/>
  <c r="P22" i="2" s="1"/>
  <c r="E38" i="2" a="1"/>
  <c r="E38" i="2" s="1"/>
  <c r="V48" i="2" a="1"/>
  <c r="V48" i="2" s="1"/>
  <c r="P39" i="2" a="1"/>
  <c r="P39" i="2" s="1"/>
  <c r="Q39" i="2" a="1"/>
  <c r="Q39" i="2" s="1"/>
  <c r="V49" i="2" a="1"/>
  <c r="V49" i="2" s="1"/>
  <c r="Q29" i="2" a="1"/>
  <c r="Q29" i="2" s="1"/>
  <c r="T41" i="2" a="1"/>
  <c r="T41" i="2" s="1"/>
  <c r="U28" i="2" a="1"/>
  <c r="U28" i="2" s="1"/>
  <c r="P41" i="2" a="1"/>
  <c r="P41" i="2" s="1"/>
  <c r="V37" i="2" a="1"/>
  <c r="V37" i="2" s="1"/>
  <c r="E36" i="2" a="1"/>
  <c r="E36" i="2" s="1"/>
  <c r="U43" i="2" a="1"/>
  <c r="U43" i="2" s="1"/>
  <c r="S46" i="2" a="1"/>
  <c r="S46" i="2" s="1"/>
  <c r="T44" i="2" a="1"/>
  <c r="T44" i="2" s="1"/>
  <c r="R54" i="2" a="1"/>
  <c r="R54" i="2" s="1"/>
  <c r="E32" i="2" a="1"/>
  <c r="E32" i="2" s="1"/>
  <c r="S56" i="2" a="1"/>
  <c r="S56" i="2" s="1"/>
  <c r="R46" i="2" a="1"/>
  <c r="R46" i="2" s="1"/>
  <c r="I53" i="2" a="1"/>
  <c r="I53" i="2" s="1"/>
  <c r="O27" i="2" a="1"/>
  <c r="O27" i="2" s="1"/>
  <c r="F57" i="2" a="1"/>
  <c r="F57" i="2" s="1"/>
  <c r="E30" i="2" a="1"/>
  <c r="E30" i="2" s="1"/>
  <c r="P44" i="2" a="1"/>
  <c r="P44" i="2" s="1"/>
  <c r="R26" i="2" a="1"/>
  <c r="R26" i="2" s="1"/>
  <c r="P47" i="2" a="1"/>
  <c r="P47" i="2" s="1"/>
  <c r="I22" i="2" a="1"/>
  <c r="I22" i="2" s="1"/>
  <c r="H22" i="2" a="1"/>
  <c r="H22" i="2" s="1"/>
  <c r="Q43" i="2" a="1"/>
  <c r="Q43" i="2" s="1"/>
  <c r="R35" i="2" a="1"/>
  <c r="R35" i="2" s="1"/>
  <c r="R25" i="2" a="1"/>
  <c r="R25" i="2" s="1"/>
  <c r="R56" i="2" a="1"/>
  <c r="R56" i="2" s="1"/>
  <c r="G45" i="2" a="1"/>
  <c r="G45" i="2" s="1"/>
  <c r="E22" i="2" a="1"/>
  <c r="E22" i="2" s="1"/>
  <c r="I43" i="2" a="1"/>
  <c r="I43" i="2" s="1"/>
  <c r="E43" i="2" a="1"/>
  <c r="E43" i="2" s="1"/>
  <c r="E23" i="2" a="1"/>
  <c r="E23" i="2" s="1"/>
  <c r="I58" i="2" a="1"/>
  <c r="I58" i="2" s="1"/>
  <c r="S30" i="2" a="1"/>
  <c r="S30" i="2" s="1"/>
  <c r="F53" i="2" a="1"/>
  <c r="F53" i="2" s="1"/>
  <c r="E44" i="2" a="1"/>
  <c r="E44" i="2" s="1"/>
  <c r="O37" i="2" a="1"/>
  <c r="O37" i="2" s="1"/>
  <c r="G21" i="2" a="1"/>
  <c r="G21" i="2" s="1"/>
  <c r="O43" i="2" a="1"/>
  <c r="O43" i="2" s="1"/>
  <c r="P57" i="2" a="1"/>
  <c r="P57" i="2" s="1"/>
  <c r="S22" i="2" a="1"/>
  <c r="S22" i="2" s="1"/>
  <c r="S27" i="2" a="1"/>
  <c r="S27" i="2" s="1"/>
  <c r="P55" i="2" a="1"/>
  <c r="P55" i="2" s="1"/>
  <c r="U29" i="2" a="1"/>
  <c r="U29" i="2" s="1"/>
  <c r="I39" i="2" a="1"/>
  <c r="I39" i="2" s="1"/>
  <c r="E24" i="2" a="1"/>
  <c r="E24" i="2" s="1"/>
  <c r="V54" i="2" a="1"/>
  <c r="V54" i="2" s="1"/>
  <c r="E60" i="2" a="1"/>
  <c r="E60" i="2" s="1"/>
  <c r="F47" i="2" a="1"/>
  <c r="F47" i="2" s="1"/>
  <c r="F44" i="2" a="1"/>
  <c r="F44" i="2" s="1"/>
  <c r="T29" i="2" a="1"/>
  <c r="T29" i="2" s="1"/>
  <c r="F51" i="2" a="1"/>
  <c r="F51" i="2" s="1"/>
  <c r="G31" i="2" a="1"/>
  <c r="G31" i="2" s="1"/>
  <c r="O45" i="2" a="1"/>
  <c r="O45" i="2" s="1"/>
  <c r="U37" i="2" a="1"/>
  <c r="U37" i="2" s="1"/>
  <c r="H25" i="2" a="1"/>
  <c r="H25" i="2" s="1"/>
  <c r="Q58" i="2" a="1"/>
  <c r="Q58" i="2" s="1"/>
  <c r="F59" i="2" a="1"/>
  <c r="F59" i="2" s="1"/>
  <c r="H33" i="2" a="1"/>
  <c r="H33" i="2" s="1"/>
  <c r="H28" i="2" a="1"/>
  <c r="H28" i="2" s="1"/>
  <c r="T58" i="2" a="1"/>
  <c r="T58" i="2" s="1"/>
  <c r="V47" i="2" a="1"/>
  <c r="V47" i="2" s="1"/>
  <c r="U57" i="2" a="1"/>
  <c r="U57" i="2" s="1"/>
  <c r="Q41" i="2" a="1"/>
  <c r="Q41" i="2" s="1"/>
  <c r="H52" i="2" a="1"/>
  <c r="H52" i="2" s="1"/>
  <c r="I48" i="2" a="1"/>
  <c r="I48" i="2" s="1"/>
  <c r="V57" i="2" a="1"/>
  <c r="V57" i="2" s="1"/>
  <c r="E49" i="2" a="1"/>
  <c r="E49" i="2" s="1"/>
  <c r="P23" i="2" a="1"/>
  <c r="P23" i="2" s="1"/>
  <c r="R40" i="2" a="1"/>
  <c r="R40" i="2" s="1"/>
  <c r="Q44" i="2" a="1"/>
  <c r="Q44" i="2" s="1"/>
  <c r="E33" i="2" a="1"/>
  <c r="E33" i="2" s="1"/>
  <c r="G26" i="2" a="1"/>
  <c r="G26" i="2" s="1"/>
  <c r="T39" i="2" a="1"/>
  <c r="T39" i="2" s="1"/>
  <c r="E41" i="2" a="1"/>
  <c r="E41" i="2" s="1"/>
  <c r="F39" i="2" a="1"/>
  <c r="F39" i="2" s="1"/>
  <c r="H40" i="2" a="1"/>
  <c r="H40" i="2" s="1"/>
  <c r="H31" i="2" a="1"/>
  <c r="H31" i="2" s="1"/>
  <c r="R48" i="2" a="1"/>
  <c r="R48" i="2" s="1"/>
  <c r="R23" i="2" a="1"/>
  <c r="R23" i="2" s="1"/>
  <c r="H47" i="2" a="1"/>
  <c r="H47" i="2" s="1"/>
  <c r="T53" i="2" a="1"/>
  <c r="T53" i="2" s="1"/>
  <c r="E45" i="2" a="1"/>
  <c r="E45" i="2" s="1"/>
  <c r="Q46" i="2" a="1"/>
  <c r="Q46" i="2" s="1"/>
  <c r="H51" i="2" a="1"/>
  <c r="H51" i="2" s="1"/>
  <c r="G29" i="2" a="1"/>
  <c r="G29" i="2" s="1"/>
  <c r="R43" i="2" a="1"/>
  <c r="R43" i="2" s="1"/>
  <c r="E57" i="2" a="1"/>
  <c r="E57" i="2" s="1"/>
  <c r="P48" i="2" a="1"/>
  <c r="P48" i="2" s="1"/>
  <c r="E42" i="2" a="1"/>
  <c r="E42" i="2" s="1"/>
  <c r="T27" i="2" a="1"/>
  <c r="T27" i="2" s="1"/>
  <c r="H37" i="2" a="1"/>
  <c r="H37" i="2" s="1"/>
  <c r="Q28" i="2" a="1"/>
  <c r="Q28" i="2" s="1"/>
  <c r="T24" i="2" a="1"/>
  <c r="T24" i="2" s="1"/>
  <c r="S48" i="2" a="1"/>
  <c r="S48" i="2" s="1"/>
  <c r="R47" i="2" a="1"/>
  <c r="R47" i="2" s="1"/>
  <c r="H55" i="2" a="1"/>
  <c r="H55" i="2" s="1"/>
  <c r="F52" i="2" a="1"/>
  <c r="F52" i="2" s="1"/>
  <c r="E31" i="2" a="1"/>
  <c r="E31" i="2" s="1"/>
  <c r="U36" i="2" a="1"/>
  <c r="U36" i="2" s="1"/>
  <c r="O22" i="2" a="1"/>
  <c r="O22" i="2" s="1"/>
  <c r="Q48" i="2" a="1"/>
  <c r="Q48" i="2" s="1"/>
  <c r="T25" i="2" a="1"/>
  <c r="T25" i="2" s="1"/>
  <c r="O21" i="2" a="1"/>
  <c r="O21" i="2" s="1"/>
  <c r="U47" i="2" a="1"/>
  <c r="U47" i="2" s="1"/>
  <c r="O33" i="2" a="1"/>
  <c r="O33" i="2" s="1"/>
  <c r="O39" i="2" a="1"/>
  <c r="O39" i="2" s="1"/>
  <c r="H23" i="2" a="1"/>
  <c r="H23" i="2" s="1"/>
  <c r="E37" i="2" a="1"/>
  <c r="E37" i="2" s="1"/>
  <c r="V35" i="2" a="1"/>
  <c r="V35" i="2" s="1"/>
  <c r="I29" i="2" a="1"/>
  <c r="I29" i="2" s="1"/>
  <c r="V39" i="2" a="1"/>
  <c r="V39" i="2" s="1"/>
  <c r="F26" i="2" a="1"/>
  <c r="F26" i="2" s="1"/>
  <c r="P29" i="2" a="1"/>
  <c r="P29" i="2" s="1"/>
  <c r="R45" i="2" a="1"/>
  <c r="R45" i="2" s="1"/>
  <c r="I33" i="2" a="1"/>
  <c r="I33" i="2" s="1"/>
  <c r="G41" i="2" a="1"/>
  <c r="G41" i="2" s="1"/>
  <c r="AZ33" i="1"/>
  <c r="AU33" i="1"/>
  <c r="AP33" i="1"/>
  <c r="T34" i="2" a="1"/>
  <c r="T34" i="2" s="1"/>
  <c r="V33" i="2" a="1"/>
  <c r="V33" i="2" s="1"/>
  <c r="T56" i="2" a="1"/>
  <c r="T56" i="2" s="1"/>
  <c r="U27" i="2" a="1"/>
  <c r="U27" i="2" s="1"/>
  <c r="U34" i="2" a="1"/>
  <c r="U34" i="2" s="1"/>
  <c r="Q59" i="2" a="1"/>
  <c r="Q59" i="2" s="1"/>
  <c r="AA46" i="2" a="1"/>
  <c r="AA46" i="2" s="1"/>
  <c r="AA43" i="2" a="1"/>
  <c r="AA43" i="2" s="1"/>
  <c r="AD44" i="2" a="1"/>
  <c r="AD44" i="2" s="1"/>
  <c r="AC35" i="2" a="1"/>
  <c r="AC35" i="2" s="1"/>
  <c r="AA44" i="2" a="1"/>
  <c r="AA44" i="2" s="1"/>
  <c r="AA59" i="2" a="1"/>
  <c r="AA59" i="2" s="1"/>
  <c r="AC59" i="2" a="1"/>
  <c r="AC59" i="2" s="1"/>
  <c r="AD21" i="2" a="1"/>
  <c r="AD21" i="2" s="1"/>
  <c r="AC52" i="2" a="1"/>
  <c r="AC52" i="2" s="1"/>
  <c r="AB30" i="2" a="1"/>
  <c r="AB30" i="2" s="1"/>
  <c r="AA52" i="2" a="1"/>
  <c r="AA52" i="2" s="1"/>
  <c r="AC29" i="2" a="1"/>
  <c r="AC29" i="2" s="1"/>
  <c r="AB33" i="2" a="1"/>
  <c r="AB33" i="2" s="1"/>
  <c r="AD35" i="2" a="1"/>
  <c r="AD35" i="2" s="1"/>
  <c r="AD49" i="2" a="1"/>
  <c r="AD49" i="2" s="1"/>
  <c r="AB54" i="2" a="1"/>
  <c r="AB54" i="2" s="1"/>
  <c r="AC26" i="2" a="1"/>
  <c r="AC26" i="2" s="1"/>
  <c r="AD37" i="2" a="1"/>
  <c r="AD37" i="2" s="1"/>
  <c r="AD48" i="2" a="1"/>
  <c r="AD48" i="2" s="1"/>
  <c r="AA53" i="2" a="1"/>
  <c r="AA53" i="2" s="1"/>
  <c r="AD54" i="2" a="1"/>
  <c r="AD54" i="2" s="1"/>
  <c r="AA32" i="2" a="1"/>
  <c r="AA32" i="2" s="1"/>
  <c r="AD26" i="2" a="1"/>
  <c r="AD26" i="2" s="1"/>
  <c r="AC21" i="2" a="1"/>
  <c r="AC21" i="2" s="1"/>
  <c r="AE41" i="2" a="1"/>
  <c r="AE41" i="2" s="1"/>
  <c r="AC50" i="2" a="1"/>
  <c r="AC50" i="2" s="1"/>
  <c r="AE22" i="2" a="1"/>
  <c r="AE22" i="2" s="1"/>
  <c r="AD50" i="2" a="1"/>
  <c r="AD50" i="2" s="1"/>
  <c r="AE40" i="2" a="1"/>
  <c r="AE40" i="2" s="1"/>
  <c r="AD52" i="2" a="1"/>
  <c r="AD52" i="2" s="1"/>
  <c r="AD30" i="2" a="1"/>
  <c r="AD30" i="2" s="1"/>
  <c r="AA25" i="2" a="1"/>
  <c r="AA25" i="2" s="1"/>
  <c r="AB40" i="2" a="1"/>
  <c r="AB40" i="2" s="1"/>
  <c r="AA34" i="2" a="1"/>
  <c r="AA34" i="2" s="1"/>
  <c r="AD56" i="2" a="1"/>
  <c r="AD56" i="2" s="1"/>
  <c r="AD46" i="2" a="1"/>
  <c r="AD46" i="2" s="1"/>
  <c r="AA54" i="2" a="1"/>
  <c r="AA54" i="2" s="1"/>
  <c r="AD57" i="2" a="1"/>
  <c r="AD57" i="2" s="1"/>
  <c r="AC42" i="2" a="1"/>
  <c r="AC42" i="2" s="1"/>
  <c r="AD32" i="2" a="1"/>
  <c r="AD32" i="2" s="1"/>
  <c r="AB51" i="2" a="1"/>
  <c r="AB51" i="2" s="1"/>
  <c r="AC38" i="2" a="1"/>
  <c r="AC38" i="2" s="1"/>
  <c r="AE21" i="2" a="1"/>
  <c r="AE21" i="2" s="1"/>
  <c r="AE26" i="2" a="1"/>
  <c r="AE26" i="2" s="1"/>
  <c r="AA56" i="2" a="1"/>
  <c r="AA56" i="2" s="1"/>
  <c r="AE30" i="2" a="1"/>
  <c r="AE30" i="2" s="1"/>
  <c r="AC43" i="2" a="1"/>
  <c r="AC43" i="2" s="1"/>
  <c r="AC28" i="2" a="1"/>
  <c r="AC28" i="2" s="1"/>
  <c r="AB23" i="2" a="1"/>
  <c r="AB23" i="2" s="1"/>
  <c r="AC34" i="2" a="1"/>
  <c r="AC34" i="2" s="1"/>
  <c r="AA42" i="2" a="1"/>
  <c r="AA42" i="2" s="1"/>
  <c r="AD42" i="2" a="1"/>
  <c r="AD42" i="2" s="1"/>
  <c r="AD55" i="2" a="1"/>
  <c r="AD55" i="2" s="1"/>
  <c r="AC32" i="2" a="1"/>
  <c r="AC32" i="2" s="1"/>
  <c r="AE25" i="2" a="1"/>
  <c r="AE25" i="2" s="1"/>
  <c r="AC45" i="2" a="1"/>
  <c r="AC45" i="2" s="1"/>
  <c r="AA47" i="2" a="1"/>
  <c r="AA47" i="2" s="1"/>
  <c r="AE28" i="2" a="1"/>
  <c r="AE28" i="2" s="1"/>
  <c r="AE35" i="2" a="1"/>
  <c r="AE35" i="2" s="1"/>
  <c r="AA40" i="2" a="1"/>
  <c r="AA40" i="2" s="1"/>
  <c r="G40" i="2" a="1"/>
  <c r="G40" i="2" s="1"/>
  <c r="AE49" i="2" a="1"/>
  <c r="AE49" i="2" s="1"/>
  <c r="AE24" i="2" a="1"/>
  <c r="AE24" i="2" s="1"/>
  <c r="AC25" i="2" a="1"/>
  <c r="AC25" i="2" s="1"/>
  <c r="AE54" i="2" a="1"/>
  <c r="AE54" i="2" s="1"/>
  <c r="AB42" i="2" a="1"/>
  <c r="AB42" i="2" s="1"/>
  <c r="AC24" i="2" a="1"/>
  <c r="AC24" i="2" s="1"/>
  <c r="AD34" i="2" a="1"/>
  <c r="AD34" i="2" s="1"/>
  <c r="AA23" i="2" a="1"/>
  <c r="AA23" i="2" s="1"/>
  <c r="AE53" i="2" a="1"/>
  <c r="AE53" i="2" s="1"/>
  <c r="AC40" i="2" a="1"/>
  <c r="AC40" i="2" s="1"/>
  <c r="AE60" i="2" a="1"/>
  <c r="AE60" i="2" s="1"/>
  <c r="AB24" i="2" a="1"/>
  <c r="AB24" i="2" s="1"/>
  <c r="AC48" i="2" a="1"/>
  <c r="AC48" i="2" s="1"/>
  <c r="AC22" i="2" a="1"/>
  <c r="AC22" i="2" s="1"/>
  <c r="AB27" i="2" a="1"/>
  <c r="AB27" i="2" s="1"/>
  <c r="AA60" i="2" a="1"/>
  <c r="AA60" i="2" s="1"/>
  <c r="AD45" i="2" a="1"/>
  <c r="AD45" i="2" s="1"/>
  <c r="AA35" i="2" a="1"/>
  <c r="AA35" i="2" s="1"/>
  <c r="AB34" i="2" a="1"/>
  <c r="AB34" i="2" s="1"/>
  <c r="AD43" i="2" a="1"/>
  <c r="AD43" i="2" s="1"/>
  <c r="AB55" i="2" a="1"/>
  <c r="AB55" i="2" s="1"/>
  <c r="AB41" i="2" a="1"/>
  <c r="AB41" i="2" s="1"/>
  <c r="AD28" i="2" a="1"/>
  <c r="AD28" i="2" s="1"/>
  <c r="AB47" i="2" a="1"/>
  <c r="AB47" i="2" s="1"/>
  <c r="AE29" i="2" a="1"/>
  <c r="AE29" i="2" s="1"/>
  <c r="AC39" i="2" a="1"/>
  <c r="AC39" i="2" s="1"/>
  <c r="AB45" i="2" a="1"/>
  <c r="AB45" i="2" s="1"/>
  <c r="AE37" i="2" a="1"/>
  <c r="AE37" i="2" s="1"/>
  <c r="AA26" i="2" a="1"/>
  <c r="AA26" i="2" s="1"/>
  <c r="AA51" i="2" a="1"/>
  <c r="AA51" i="2" s="1"/>
  <c r="AE56" i="2" a="1"/>
  <c r="AE56" i="2" s="1"/>
  <c r="AE36" i="2" a="1"/>
  <c r="AE36" i="2" s="1"/>
  <c r="AA49" i="2" a="1"/>
  <c r="AA49" i="2" s="1"/>
  <c r="AB32" i="2" a="1"/>
  <c r="AB32" i="2" s="1"/>
  <c r="AB50" i="2" a="1"/>
  <c r="AB50" i="2" s="1"/>
  <c r="AB49" i="2" a="1"/>
  <c r="AB49" i="2" s="1"/>
  <c r="AC53" i="2" a="1"/>
  <c r="AC53" i="2" s="1"/>
  <c r="AC47" i="2" a="1"/>
  <c r="AC47" i="2" s="1"/>
  <c r="AE52" i="2" a="1"/>
  <c r="AE52" i="2" s="1"/>
  <c r="AB25" i="2" a="1"/>
  <c r="AB25" i="2" s="1"/>
  <c r="AE31" i="2" a="1"/>
  <c r="AE31" i="2" s="1"/>
  <c r="AC36" i="2" a="1"/>
  <c r="AC36" i="2" s="1"/>
  <c r="AA57" i="2" a="1"/>
  <c r="AA57" i="2" s="1"/>
  <c r="AC33" i="2" a="1"/>
  <c r="AC33" i="2" s="1"/>
  <c r="AA50" i="2" a="1"/>
  <c r="AA50" i="2" s="1"/>
  <c r="AC55" i="2" a="1"/>
  <c r="AC55" i="2" s="1"/>
  <c r="AD27" i="2" a="1"/>
  <c r="AD27" i="2" s="1"/>
  <c r="AD53" i="2" a="1"/>
  <c r="AD53" i="2" s="1"/>
  <c r="AB48" i="2" a="1"/>
  <c r="AB48" i="2" s="1"/>
  <c r="AA58" i="2" a="1"/>
  <c r="AA58" i="2" s="1"/>
  <c r="AE23" i="2" a="1"/>
  <c r="AE23" i="2" s="1"/>
  <c r="AE50" i="2" a="1"/>
  <c r="AE50" i="2" s="1"/>
  <c r="AD40" i="2" a="1"/>
  <c r="AD40" i="2" s="1"/>
  <c r="AB21" i="2" a="1"/>
  <c r="AB21" i="2" s="1"/>
  <c r="AC51" i="2" a="1"/>
  <c r="AC51" i="2" s="1"/>
  <c r="AE34" i="2" a="1"/>
  <c r="AE34" i="2" s="1"/>
  <c r="AB28" i="2" a="1"/>
  <c r="AB28" i="2" s="1"/>
  <c r="AB38" i="2" a="1"/>
  <c r="AB38" i="2" s="1"/>
  <c r="AE55" i="2" a="1"/>
  <c r="AE55" i="2" s="1"/>
  <c r="AC37" i="2" a="1"/>
  <c r="AC37" i="2" s="1"/>
  <c r="AB39" i="2" a="1"/>
  <c r="AB39" i="2" s="1"/>
  <c r="N31" i="1"/>
  <c r="AC31" i="1" s="1"/>
  <c r="C34" i="1"/>
  <c r="AJ34" i="1" s="1"/>
  <c r="AZ34" i="1" l="1"/>
  <c r="AP34" i="1"/>
  <c r="AU34" i="1"/>
  <c r="Z33" i="1"/>
  <c r="E33" i="1"/>
  <c r="Z65" i="1"/>
  <c r="Z62" i="1"/>
  <c r="T32" i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V32" i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R32" i="1"/>
  <c r="Z49" i="1"/>
  <c r="Z64" i="1"/>
  <c r="Z57" i="1"/>
  <c r="Z47" i="1"/>
  <c r="X32" i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F32" i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Z48" i="1"/>
  <c r="G32" i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Z44" i="1"/>
  <c r="C35" i="1"/>
  <c r="AJ35" i="1" s="1"/>
  <c r="Z32" i="1"/>
  <c r="Z36" i="1"/>
  <c r="Z46" i="1"/>
  <c r="Z59" i="1"/>
  <c r="H32" i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Z60" i="1"/>
  <c r="Z56" i="1"/>
  <c r="Z34" i="1"/>
  <c r="Z40" i="1"/>
  <c r="Z55" i="1"/>
  <c r="Z43" i="1"/>
  <c r="Z29" i="1"/>
  <c r="AA29" i="1" s="1"/>
  <c r="AD29" i="1" s="1"/>
  <c r="AE29" i="1" s="1"/>
  <c r="AH29" i="1" s="1"/>
  <c r="Z31" i="1"/>
  <c r="AA31" i="1" s="1"/>
  <c r="AD31" i="1" s="1"/>
  <c r="AE31" i="1" s="1"/>
  <c r="Z66" i="1"/>
  <c r="Z51" i="1"/>
  <c r="Z42" i="1"/>
  <c r="Z38" i="1"/>
  <c r="W32" i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Z53" i="1"/>
  <c r="Z37" i="1"/>
  <c r="Z50" i="1"/>
  <c r="Z45" i="1"/>
  <c r="Z39" i="1"/>
  <c r="U33" i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Z54" i="1"/>
  <c r="Z61" i="1"/>
  <c r="Z52" i="1"/>
  <c r="Z63" i="1"/>
  <c r="Z58" i="1"/>
  <c r="Z35" i="1"/>
  <c r="S33" i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Z41" i="1"/>
  <c r="AP35" i="1" l="1"/>
  <c r="AU35" i="1"/>
  <c r="AZ35" i="1"/>
  <c r="AG31" i="1" a="1"/>
  <c r="AG31" i="1" s="1"/>
  <c r="AK31" i="1" s="1"/>
  <c r="C36" i="1"/>
  <c r="AJ36" i="1" s="1"/>
  <c r="R33" i="1"/>
  <c r="AA32" i="1"/>
  <c r="AD32" i="1" s="1"/>
  <c r="E34" i="1"/>
  <c r="N33" i="1"/>
  <c r="AC33" i="1" s="1"/>
  <c r="N32" i="1"/>
  <c r="AC32" i="1" s="1"/>
  <c r="AP36" i="1" l="1"/>
  <c r="AZ36" i="1"/>
  <c r="AU36" i="1"/>
  <c r="AE32" i="1"/>
  <c r="AH31" i="1"/>
  <c r="BG31" i="1" s="1"/>
  <c r="E35" i="1"/>
  <c r="N34" i="1"/>
  <c r="AC34" i="1" s="1"/>
  <c r="R34" i="1"/>
  <c r="AA33" i="1"/>
  <c r="AD33" i="1" s="1"/>
  <c r="AE33" i="1" s="1"/>
  <c r="C37" i="1"/>
  <c r="AJ37" i="1" s="1"/>
  <c r="AX31" i="1"/>
  <c r="AL31" i="1"/>
  <c r="K21" i="4" l="1"/>
  <c r="J21" i="4"/>
  <c r="K19" i="4"/>
  <c r="J19" i="4"/>
  <c r="K17" i="4"/>
  <c r="J17" i="4"/>
  <c r="I21" i="4"/>
  <c r="F18" i="4"/>
  <c r="F19" i="4"/>
  <c r="G18" i="4"/>
  <c r="F22" i="4"/>
  <c r="F21" i="4"/>
  <c r="G20" i="4"/>
  <c r="G16" i="4"/>
  <c r="G15" i="4"/>
  <c r="H18" i="4"/>
  <c r="G22" i="4"/>
  <c r="G17" i="4"/>
  <c r="H20" i="4"/>
  <c r="H16" i="4"/>
  <c r="G19" i="4"/>
  <c r="J18" i="4"/>
  <c r="H22" i="4"/>
  <c r="G21" i="4"/>
  <c r="J20" i="4"/>
  <c r="I16" i="4"/>
  <c r="H15" i="4"/>
  <c r="K20" i="4"/>
  <c r="I18" i="4"/>
  <c r="H17" i="4"/>
  <c r="E15" i="4"/>
  <c r="I20" i="4"/>
  <c r="H19" i="4"/>
  <c r="E17" i="4"/>
  <c r="I22" i="4"/>
  <c r="H21" i="4"/>
  <c r="E19" i="4"/>
  <c r="J16" i="4"/>
  <c r="E16" i="4"/>
  <c r="E21" i="4"/>
  <c r="J22" i="4"/>
  <c r="I17" i="4"/>
  <c r="K16" i="4"/>
  <c r="E20" i="4"/>
  <c r="I19" i="4"/>
  <c r="K18" i="4"/>
  <c r="E22" i="4"/>
  <c r="K22" i="4"/>
  <c r="F16" i="4"/>
  <c r="F17" i="4"/>
  <c r="F20" i="4"/>
  <c r="E18" i="4"/>
  <c r="K15" i="4"/>
  <c r="J15" i="4"/>
  <c r="F15" i="4"/>
  <c r="D14" i="4" a="1"/>
  <c r="D14" i="4" s="1"/>
  <c r="I15" i="4"/>
  <c r="AZ37" i="1"/>
  <c r="AU37" i="1"/>
  <c r="AP37" i="1"/>
  <c r="BF31" i="1"/>
  <c r="BH31" i="1" s="1"/>
  <c r="BI31" i="1" s="1"/>
  <c r="C38" i="1"/>
  <c r="AJ38" i="1" s="1"/>
  <c r="R35" i="1"/>
  <c r="AA34" i="1"/>
  <c r="AD34" i="1" s="1"/>
  <c r="AE34" i="1" s="1"/>
  <c r="N35" i="1"/>
  <c r="AC35" i="1" s="1"/>
  <c r="E36" i="1"/>
  <c r="AS31" i="1"/>
  <c r="AT31" i="1" s="1"/>
  <c r="AV31" i="1" s="1"/>
  <c r="AN31" i="1"/>
  <c r="AO31" i="1" s="1"/>
  <c r="AQ31" i="1" s="1"/>
  <c r="AY31" i="1"/>
  <c r="BA31" i="1" s="1"/>
  <c r="D22" i="4" l="1"/>
  <c r="D20" i="4"/>
  <c r="D18" i="4"/>
  <c r="D16" i="4"/>
  <c r="D21" i="4"/>
  <c r="D19" i="4"/>
  <c r="D17" i="4"/>
  <c r="D15" i="4"/>
  <c r="AP38" i="1"/>
  <c r="AZ38" i="1"/>
  <c r="AU38" i="1"/>
  <c r="BC31" i="1"/>
  <c r="BD31" i="1" s="1"/>
  <c r="BK31" i="1"/>
  <c r="BL31" i="1" s="1"/>
  <c r="BN31" i="1" s="1"/>
  <c r="AF32" i="1" a="1"/>
  <c r="AF32" i="1" s="1"/>
  <c r="AG32" i="1" s="1" a="1"/>
  <c r="AG32" i="1" s="1"/>
  <c r="AK32" i="1" s="1"/>
  <c r="R36" i="1"/>
  <c r="AA35" i="1"/>
  <c r="AD35" i="1" s="1"/>
  <c r="AE35" i="1" s="1"/>
  <c r="C39" i="1"/>
  <c r="AJ39" i="1" s="1"/>
  <c r="E37" i="1"/>
  <c r="N36" i="1"/>
  <c r="AC36" i="1" s="1"/>
  <c r="E25" i="4" l="1"/>
  <c r="H26" i="4" s="1" a="1"/>
  <c r="H26" i="4" s="1"/>
  <c r="AU39" i="1"/>
  <c r="AZ39" i="1"/>
  <c r="AP39" i="1"/>
  <c r="AH32" i="1"/>
  <c r="BG32" i="1" s="1"/>
  <c r="C40" i="1"/>
  <c r="AJ40" i="1" s="1"/>
  <c r="AL32" i="1"/>
  <c r="AX32" i="1"/>
  <c r="AS32" i="1"/>
  <c r="AT32" i="1" s="1"/>
  <c r="AV32" i="1" s="1"/>
  <c r="AN32" i="1"/>
  <c r="AO32" i="1" s="1"/>
  <c r="AQ32" i="1" s="1"/>
  <c r="N37" i="1"/>
  <c r="AC37" i="1" s="1"/>
  <c r="E38" i="1"/>
  <c r="R37" i="1"/>
  <c r="AA36" i="1"/>
  <c r="AD36" i="1" s="1"/>
  <c r="AE36" i="1" s="1"/>
  <c r="H25" i="4" l="1" a="1"/>
  <c r="H25" i="4" s="1"/>
  <c r="H27" i="4" s="1"/>
  <c r="AZ40" i="1"/>
  <c r="AP40" i="1"/>
  <c r="AU40" i="1"/>
  <c r="BF32" i="1"/>
  <c r="BH32" i="1" s="1"/>
  <c r="BK32" i="1" s="1"/>
  <c r="BL32" i="1" s="1"/>
  <c r="BN32" i="1" s="1"/>
  <c r="R38" i="1"/>
  <c r="AA37" i="1"/>
  <c r="AD37" i="1" s="1"/>
  <c r="AE37" i="1" s="1"/>
  <c r="E39" i="1"/>
  <c r="N38" i="1"/>
  <c r="AC38" i="1" s="1"/>
  <c r="AY32" i="1"/>
  <c r="BA32" i="1" s="1"/>
  <c r="BC32" i="1"/>
  <c r="BD32" i="1" s="1"/>
  <c r="C41" i="1"/>
  <c r="C42" i="1" l="1"/>
  <c r="AJ41" i="1"/>
  <c r="AF33" i="1" a="1"/>
  <c r="AF33" i="1" s="1"/>
  <c r="AG33" i="1" s="1" a="1"/>
  <c r="AG33" i="1" s="1"/>
  <c r="AK33" i="1" s="1"/>
  <c r="BI32" i="1"/>
  <c r="N39" i="1"/>
  <c r="AC39" i="1" s="1"/>
  <c r="E40" i="1"/>
  <c r="R39" i="1"/>
  <c r="AA38" i="1"/>
  <c r="AD38" i="1" s="1"/>
  <c r="AE38" i="1" s="1"/>
  <c r="AU41" i="1" l="1"/>
  <c r="AP41" i="1"/>
  <c r="AZ41" i="1"/>
  <c r="C43" i="1"/>
  <c r="AJ42" i="1"/>
  <c r="AH33" i="1"/>
  <c r="BF33" i="1" s="1"/>
  <c r="N40" i="1"/>
  <c r="AC40" i="1" s="1"/>
  <c r="E41" i="1"/>
  <c r="R40" i="1"/>
  <c r="AA39" i="1"/>
  <c r="AD39" i="1" s="1"/>
  <c r="AE39" i="1" s="1"/>
  <c r="AX33" i="1"/>
  <c r="AS33" i="1"/>
  <c r="AT33" i="1" s="1"/>
  <c r="AV33" i="1" s="1"/>
  <c r="AN33" i="1"/>
  <c r="AO33" i="1" s="1"/>
  <c r="AQ33" i="1" s="1"/>
  <c r="AL33" i="1"/>
  <c r="AZ42" i="1" l="1"/>
  <c r="AU42" i="1"/>
  <c r="AP42" i="1"/>
  <c r="C44" i="1"/>
  <c r="AJ43" i="1"/>
  <c r="BG33" i="1"/>
  <c r="BH33" i="1" s="1"/>
  <c r="BC33" i="1"/>
  <c r="BD33" i="1" s="1"/>
  <c r="AY33" i="1"/>
  <c r="BA33" i="1" s="1"/>
  <c r="R41" i="1"/>
  <c r="AA40" i="1"/>
  <c r="AD40" i="1" s="1"/>
  <c r="AE40" i="1" s="1"/>
  <c r="N41" i="1"/>
  <c r="AC41" i="1" s="1"/>
  <c r="E42" i="1"/>
  <c r="AZ43" i="1" l="1"/>
  <c r="AP43" i="1"/>
  <c r="AU43" i="1"/>
  <c r="C45" i="1"/>
  <c r="AJ44" i="1"/>
  <c r="E43" i="1"/>
  <c r="N42" i="1"/>
  <c r="AC42" i="1" s="1"/>
  <c r="R42" i="1"/>
  <c r="AA41" i="1"/>
  <c r="AD41" i="1" s="1"/>
  <c r="AE41" i="1" s="1"/>
  <c r="BI33" i="1"/>
  <c r="BK33" i="1" s="1"/>
  <c r="BL33" i="1" s="1"/>
  <c r="BN33" i="1" s="1"/>
  <c r="AF34" i="1" a="1"/>
  <c r="AF34" i="1" s="1"/>
  <c r="AG34" i="1" s="1" a="1"/>
  <c r="AG34" i="1" s="1"/>
  <c r="AP44" i="1" l="1"/>
  <c r="AU44" i="1"/>
  <c r="AZ44" i="1"/>
  <c r="C46" i="1"/>
  <c r="AJ45" i="1"/>
  <c r="AK34" i="1"/>
  <c r="AH34" i="1"/>
  <c r="R43" i="1"/>
  <c r="AA42" i="1"/>
  <c r="AD42" i="1" s="1"/>
  <c r="AE42" i="1" s="1"/>
  <c r="N43" i="1"/>
  <c r="AC43" i="1" s="1"/>
  <c r="E44" i="1"/>
  <c r="AZ45" i="1" l="1"/>
  <c r="AU45" i="1"/>
  <c r="AP45" i="1"/>
  <c r="C47" i="1"/>
  <c r="AJ46" i="1"/>
  <c r="E45" i="1"/>
  <c r="N44" i="1"/>
  <c r="AC44" i="1" s="1"/>
  <c r="R44" i="1"/>
  <c r="AA43" i="1"/>
  <c r="AD43" i="1" s="1"/>
  <c r="AE43" i="1" s="1"/>
  <c r="BG34" i="1"/>
  <c r="BF34" i="1"/>
  <c r="AL34" i="1"/>
  <c r="AS34" i="1"/>
  <c r="AT34" i="1" s="1"/>
  <c r="AV34" i="1" s="1"/>
  <c r="AN34" i="1"/>
  <c r="AO34" i="1" s="1"/>
  <c r="AQ34" i="1" s="1"/>
  <c r="AX34" i="1"/>
  <c r="AZ46" i="1" l="1"/>
  <c r="AP46" i="1"/>
  <c r="AU46" i="1"/>
  <c r="C48" i="1"/>
  <c r="AJ47" i="1"/>
  <c r="BH34" i="1"/>
  <c r="AF35" i="1" s="1" a="1"/>
  <c r="AF35" i="1" s="1"/>
  <c r="AG35" i="1" s="1" a="1"/>
  <c r="AG35" i="1" s="1"/>
  <c r="BC34" i="1"/>
  <c r="BD34" i="1" s="1"/>
  <c r="AY34" i="1"/>
  <c r="BA34" i="1" s="1"/>
  <c r="R45" i="1"/>
  <c r="AA44" i="1"/>
  <c r="AD44" i="1" s="1"/>
  <c r="AE44" i="1" s="1"/>
  <c r="N45" i="1"/>
  <c r="AC45" i="1" s="1"/>
  <c r="E46" i="1"/>
  <c r="AU47" i="1" l="1"/>
  <c r="AP47" i="1"/>
  <c r="AZ47" i="1"/>
  <c r="C49" i="1"/>
  <c r="AJ48" i="1"/>
  <c r="BI34" i="1"/>
  <c r="BK34" i="1" s="1"/>
  <c r="BL34" i="1" s="1"/>
  <c r="BN34" i="1" s="1"/>
  <c r="R46" i="1"/>
  <c r="AA45" i="1"/>
  <c r="AD45" i="1" s="1"/>
  <c r="AE45" i="1" s="1"/>
  <c r="E47" i="1"/>
  <c r="N46" i="1"/>
  <c r="AC46" i="1" s="1"/>
  <c r="AK35" i="1"/>
  <c r="AH35" i="1"/>
  <c r="AZ48" i="1" l="1"/>
  <c r="AU48" i="1"/>
  <c r="AP48" i="1"/>
  <c r="C50" i="1"/>
  <c r="AJ49" i="1"/>
  <c r="BG35" i="1"/>
  <c r="BF35" i="1"/>
  <c r="AN35" i="1"/>
  <c r="AO35" i="1" s="1"/>
  <c r="AQ35" i="1" s="1"/>
  <c r="AL35" i="1"/>
  <c r="AX35" i="1"/>
  <c r="AS35" i="1"/>
  <c r="AT35" i="1" s="1"/>
  <c r="AV35" i="1" s="1"/>
  <c r="N47" i="1"/>
  <c r="AC47" i="1" s="1"/>
  <c r="E48" i="1"/>
  <c r="R47" i="1"/>
  <c r="AA46" i="1"/>
  <c r="AD46" i="1" s="1"/>
  <c r="AE46" i="1" s="1"/>
  <c r="AP49" i="1" l="1"/>
  <c r="AZ49" i="1"/>
  <c r="AU49" i="1"/>
  <c r="C51" i="1"/>
  <c r="AJ50" i="1"/>
  <c r="BH35" i="1"/>
  <c r="BI35" i="1" s="1"/>
  <c r="BK35" i="1" s="1"/>
  <c r="BL35" i="1" s="1"/>
  <c r="BN35" i="1" s="1"/>
  <c r="BC35" i="1"/>
  <c r="BD35" i="1" s="1"/>
  <c r="AY35" i="1"/>
  <c r="BA35" i="1" s="1"/>
  <c r="E49" i="1"/>
  <c r="N48" i="1"/>
  <c r="AC48" i="1" s="1"/>
  <c r="R48" i="1"/>
  <c r="AA47" i="1"/>
  <c r="AD47" i="1" s="1"/>
  <c r="AE47" i="1" s="1"/>
  <c r="AU50" i="1" l="1"/>
  <c r="AZ50" i="1"/>
  <c r="AP50" i="1"/>
  <c r="C52" i="1"/>
  <c r="AJ51" i="1"/>
  <c r="AF36" i="1" a="1"/>
  <c r="AF36" i="1" s="1"/>
  <c r="AG36" i="1" s="1" a="1"/>
  <c r="AG36" i="1" s="1"/>
  <c r="AH36" i="1" s="1"/>
  <c r="N49" i="1"/>
  <c r="AC49" i="1" s="1"/>
  <c r="E50" i="1"/>
  <c r="R49" i="1"/>
  <c r="AA48" i="1"/>
  <c r="AD48" i="1" s="1"/>
  <c r="AE48" i="1" s="1"/>
  <c r="AZ51" i="1" l="1"/>
  <c r="AU51" i="1"/>
  <c r="AP51" i="1"/>
  <c r="C53" i="1"/>
  <c r="AJ52" i="1"/>
  <c r="AK36" i="1"/>
  <c r="AS36" i="1" s="1"/>
  <c r="AT36" i="1" s="1"/>
  <c r="AV36" i="1" s="1"/>
  <c r="R50" i="1"/>
  <c r="AA49" i="1"/>
  <c r="AD49" i="1" s="1"/>
  <c r="AE49" i="1" s="1"/>
  <c r="BG36" i="1"/>
  <c r="BF36" i="1"/>
  <c r="N50" i="1"/>
  <c r="AC50" i="1" s="1"/>
  <c r="E51" i="1"/>
  <c r="AZ52" i="1" l="1"/>
  <c r="AU52" i="1"/>
  <c r="AP52" i="1"/>
  <c r="C54" i="1"/>
  <c r="AJ53" i="1"/>
  <c r="AX36" i="1"/>
  <c r="AY36" i="1" s="1"/>
  <c r="BA36" i="1" s="1"/>
  <c r="AL36" i="1"/>
  <c r="AN36" i="1"/>
  <c r="AO36" i="1" s="1"/>
  <c r="AQ36" i="1" s="1"/>
  <c r="BH36" i="1"/>
  <c r="AF37" i="1" s="1" a="1"/>
  <c r="AF37" i="1" s="1"/>
  <c r="AG37" i="1" s="1" a="1"/>
  <c r="AG37" i="1" s="1"/>
  <c r="N51" i="1"/>
  <c r="AC51" i="1" s="1"/>
  <c r="E52" i="1"/>
  <c r="R51" i="1"/>
  <c r="AA50" i="1"/>
  <c r="AD50" i="1" s="1"/>
  <c r="AE50" i="1" s="1"/>
  <c r="AZ53" i="1" l="1"/>
  <c r="AP53" i="1"/>
  <c r="AU53" i="1"/>
  <c r="C55" i="1"/>
  <c r="AJ54" i="1"/>
  <c r="BC36" i="1"/>
  <c r="BD36" i="1" s="1"/>
  <c r="BI36" i="1"/>
  <c r="BK36" i="1" s="1"/>
  <c r="BL36" i="1" s="1"/>
  <c r="BN36" i="1" s="1"/>
  <c r="AK37" i="1"/>
  <c r="AH37" i="1"/>
  <c r="R52" i="1"/>
  <c r="AA51" i="1"/>
  <c r="AD51" i="1" s="1"/>
  <c r="AE51" i="1" s="1"/>
  <c r="N52" i="1"/>
  <c r="AC52" i="1" s="1"/>
  <c r="E53" i="1"/>
  <c r="AU54" i="1" l="1"/>
  <c r="AP54" i="1"/>
  <c r="AZ54" i="1"/>
  <c r="C56" i="1"/>
  <c r="AJ55" i="1"/>
  <c r="N53" i="1"/>
  <c r="AC53" i="1" s="1"/>
  <c r="E54" i="1"/>
  <c r="R53" i="1"/>
  <c r="AA52" i="1"/>
  <c r="AD52" i="1" s="1"/>
  <c r="AE52" i="1" s="1"/>
  <c r="BF37" i="1"/>
  <c r="BG37" i="1"/>
  <c r="AN37" i="1"/>
  <c r="AO37" i="1" s="1"/>
  <c r="AQ37" i="1" s="1"/>
  <c r="AL37" i="1"/>
  <c r="AX37" i="1"/>
  <c r="AS37" i="1"/>
  <c r="AT37" i="1" s="1"/>
  <c r="AV37" i="1" s="1"/>
  <c r="AU55" i="1" l="1"/>
  <c r="AP55" i="1"/>
  <c r="AZ55" i="1"/>
  <c r="C57" i="1"/>
  <c r="AJ56" i="1"/>
  <c r="BH37" i="1"/>
  <c r="BI37" i="1" s="1"/>
  <c r="BK37" i="1" s="1"/>
  <c r="BL37" i="1" s="1"/>
  <c r="BN37" i="1" s="1"/>
  <c r="AY37" i="1"/>
  <c r="BA37" i="1" s="1"/>
  <c r="BC37" i="1"/>
  <c r="BD37" i="1" s="1"/>
  <c r="R54" i="1"/>
  <c r="AA53" i="1"/>
  <c r="AD53" i="1" s="1"/>
  <c r="AE53" i="1" s="1"/>
  <c r="E55" i="1"/>
  <c r="N54" i="1"/>
  <c r="AC54" i="1" s="1"/>
  <c r="AZ56" i="1" l="1"/>
  <c r="AU56" i="1"/>
  <c r="AP56" i="1"/>
  <c r="C58" i="1"/>
  <c r="AJ57" i="1"/>
  <c r="AF38" i="1" a="1"/>
  <c r="AF38" i="1" s="1"/>
  <c r="AG38" i="1" s="1" a="1"/>
  <c r="AG38" i="1" s="1"/>
  <c r="AK38" i="1" s="1"/>
  <c r="E56" i="1"/>
  <c r="N55" i="1"/>
  <c r="AC55" i="1" s="1"/>
  <c r="R55" i="1"/>
  <c r="AA54" i="1"/>
  <c r="AD54" i="1" s="1"/>
  <c r="AE54" i="1" s="1"/>
  <c r="AZ57" i="1" l="1"/>
  <c r="AU57" i="1"/>
  <c r="AP57" i="1"/>
  <c r="C59" i="1"/>
  <c r="AJ58" i="1"/>
  <c r="AH38" i="1"/>
  <c r="BF38" i="1" s="1"/>
  <c r="AX38" i="1"/>
  <c r="AN38" i="1"/>
  <c r="AO38" i="1" s="1"/>
  <c r="AQ38" i="1" s="1"/>
  <c r="AL38" i="1"/>
  <c r="AS38" i="1"/>
  <c r="AT38" i="1" s="1"/>
  <c r="AV38" i="1" s="1"/>
  <c r="R56" i="1"/>
  <c r="AA55" i="1"/>
  <c r="AD55" i="1" s="1"/>
  <c r="AE55" i="1" s="1"/>
  <c r="E57" i="1"/>
  <c r="N56" i="1"/>
  <c r="AC56" i="1" s="1"/>
  <c r="AU58" i="1" l="1"/>
  <c r="AP58" i="1"/>
  <c r="AZ58" i="1"/>
  <c r="C60" i="1"/>
  <c r="AJ59" i="1"/>
  <c r="BG38" i="1"/>
  <c r="BH38" i="1" s="1"/>
  <c r="N57" i="1"/>
  <c r="AC57" i="1" s="1"/>
  <c r="E58" i="1"/>
  <c r="BC38" i="1"/>
  <c r="BD38" i="1" s="1"/>
  <c r="AY38" i="1"/>
  <c r="BA38" i="1" s="1"/>
  <c r="R57" i="1"/>
  <c r="AA56" i="1"/>
  <c r="AD56" i="1" s="1"/>
  <c r="AE56" i="1" s="1"/>
  <c r="AZ59" i="1" l="1"/>
  <c r="AP59" i="1"/>
  <c r="AU59" i="1"/>
  <c r="C61" i="1"/>
  <c r="AJ60" i="1"/>
  <c r="BI38" i="1"/>
  <c r="BK38" i="1" s="1"/>
  <c r="BL38" i="1" s="1"/>
  <c r="BN38" i="1" s="1"/>
  <c r="AF39" i="1" a="1"/>
  <c r="AF39" i="1" s="1"/>
  <c r="AG39" i="1" s="1" a="1"/>
  <c r="AG39" i="1" s="1"/>
  <c r="R58" i="1"/>
  <c r="AA57" i="1"/>
  <c r="AD57" i="1" s="1"/>
  <c r="AE57" i="1" s="1"/>
  <c r="E59" i="1"/>
  <c r="N58" i="1"/>
  <c r="AC58" i="1" s="1"/>
  <c r="AP60" i="1" l="1"/>
  <c r="AZ60" i="1"/>
  <c r="AU60" i="1"/>
  <c r="C62" i="1"/>
  <c r="AJ61" i="1"/>
  <c r="E60" i="1"/>
  <c r="N59" i="1"/>
  <c r="AC59" i="1" s="1"/>
  <c r="R59" i="1"/>
  <c r="AA58" i="1"/>
  <c r="AD58" i="1" s="1"/>
  <c r="AE58" i="1" s="1"/>
  <c r="AK39" i="1"/>
  <c r="AH39" i="1"/>
  <c r="AZ61" i="1" l="1"/>
  <c r="AU61" i="1"/>
  <c r="AP61" i="1"/>
  <c r="C63" i="1"/>
  <c r="AJ62" i="1"/>
  <c r="BG39" i="1"/>
  <c r="BF39" i="1"/>
  <c r="AL39" i="1"/>
  <c r="AS39" i="1"/>
  <c r="AT39" i="1" s="1"/>
  <c r="AN39" i="1"/>
  <c r="AO39" i="1" s="1"/>
  <c r="AX39" i="1"/>
  <c r="R60" i="1"/>
  <c r="AA59" i="1"/>
  <c r="AD59" i="1" s="1"/>
  <c r="AE59" i="1" s="1"/>
  <c r="E61" i="1"/>
  <c r="N60" i="1"/>
  <c r="AC60" i="1" s="1"/>
  <c r="BH39" i="1" l="1"/>
  <c r="AF40" i="1" s="1" a="1"/>
  <c r="AF40" i="1" s="1"/>
  <c r="AG40" i="1" s="1" a="1"/>
  <c r="AG40" i="1" s="1"/>
  <c r="AZ62" i="1"/>
  <c r="AU62" i="1"/>
  <c r="AP62" i="1"/>
  <c r="C64" i="1"/>
  <c r="AJ63" i="1"/>
  <c r="N61" i="1"/>
  <c r="AC61" i="1" s="1"/>
  <c r="E62" i="1"/>
  <c r="R61" i="1"/>
  <c r="AA60" i="1"/>
  <c r="AD60" i="1" s="1"/>
  <c r="AE60" i="1" s="1"/>
  <c r="BC39" i="1"/>
  <c r="BD39" i="1" s="1"/>
  <c r="AY39" i="1"/>
  <c r="BA39" i="1" s="1"/>
  <c r="AQ39" i="1"/>
  <c r="AQ12" i="1"/>
  <c r="AV39" i="1"/>
  <c r="AX12" i="1"/>
  <c r="BI39" i="1" l="1"/>
  <c r="BK39" i="1" s="1"/>
  <c r="BL39" i="1" s="1"/>
  <c r="BN39" i="1" s="1"/>
  <c r="AU63" i="1"/>
  <c r="AP63" i="1"/>
  <c r="AZ63" i="1"/>
  <c r="C65" i="1"/>
  <c r="AJ64" i="1"/>
  <c r="AK40" i="1"/>
  <c r="AH40" i="1"/>
  <c r="R62" i="1"/>
  <c r="AA61" i="1"/>
  <c r="AD61" i="1" s="1"/>
  <c r="AE61" i="1" s="1"/>
  <c r="E63" i="1"/>
  <c r="N62" i="1"/>
  <c r="AC62" i="1" s="1"/>
  <c r="AU64" i="1" l="1"/>
  <c r="AP64" i="1"/>
  <c r="AZ64" i="1"/>
  <c r="C66" i="1"/>
  <c r="AJ65" i="1"/>
  <c r="N63" i="1"/>
  <c r="AC63" i="1" s="1"/>
  <c r="E64" i="1"/>
  <c r="R63" i="1"/>
  <c r="AA62" i="1"/>
  <c r="AD62" i="1" s="1"/>
  <c r="AE62" i="1" s="1"/>
  <c r="BF40" i="1"/>
  <c r="BG40" i="1"/>
  <c r="AL40" i="1"/>
  <c r="AX40" i="1"/>
  <c r="AS40" i="1"/>
  <c r="AT40" i="1" s="1"/>
  <c r="AV40" i="1" s="1"/>
  <c r="AN40" i="1"/>
  <c r="AO40" i="1" s="1"/>
  <c r="AQ40" i="1" s="1"/>
  <c r="AZ65" i="1" l="1"/>
  <c r="AU65" i="1"/>
  <c r="AP65" i="1"/>
  <c r="AJ66" i="1"/>
  <c r="AW15" i="1"/>
  <c r="BC16" i="1"/>
  <c r="AQ15" i="1"/>
  <c r="BC14" i="1"/>
  <c r="AW17" i="1"/>
  <c r="BC17" i="1"/>
  <c r="AQ14" i="1"/>
  <c r="BC15" i="1"/>
  <c r="AW14" i="1"/>
  <c r="AQ17" i="1"/>
  <c r="AQ16" i="1"/>
  <c r="AW16" i="1"/>
  <c r="BH40" i="1"/>
  <c r="R64" i="1"/>
  <c r="AA63" i="1"/>
  <c r="AD63" i="1" s="1"/>
  <c r="AE63" i="1" s="1"/>
  <c r="E65" i="1"/>
  <c r="N64" i="1"/>
  <c r="AC64" i="1" s="1"/>
  <c r="AY40" i="1"/>
  <c r="BA40" i="1" s="1"/>
  <c r="BC40" i="1"/>
  <c r="BD40" i="1" s="1"/>
  <c r="AZ66" i="1" l="1"/>
  <c r="AP66" i="1"/>
  <c r="AU66" i="1"/>
  <c r="N65" i="1"/>
  <c r="AC65" i="1" s="1"/>
  <c r="E66" i="1"/>
  <c r="N66" i="1" s="1"/>
  <c r="AC66" i="1" s="1"/>
  <c r="R65" i="1"/>
  <c r="AA64" i="1"/>
  <c r="AD64" i="1" s="1"/>
  <c r="AE64" i="1" s="1"/>
  <c r="BI40" i="1"/>
  <c r="BK40" i="1" s="1"/>
  <c r="BL40" i="1" s="1"/>
  <c r="BN40" i="1" s="1"/>
  <c r="AF41" i="1" a="1"/>
  <c r="AF41" i="1" s="1"/>
  <c r="AG41" i="1" s="1" a="1"/>
  <c r="AG41" i="1" s="1"/>
  <c r="AK41" i="1" l="1"/>
  <c r="AH41" i="1"/>
  <c r="R66" i="1"/>
  <c r="AA66" i="1" s="1"/>
  <c r="AD66" i="1" s="1"/>
  <c r="AE66" i="1" s="1"/>
  <c r="AA65" i="1"/>
  <c r="AD65" i="1" s="1"/>
  <c r="AE65" i="1" s="1"/>
  <c r="BG41" i="1" l="1"/>
  <c r="BF41" i="1"/>
  <c r="AN41" i="1"/>
  <c r="AO41" i="1" s="1"/>
  <c r="AQ41" i="1" s="1"/>
  <c r="AL41" i="1"/>
  <c r="AS41" i="1"/>
  <c r="AT41" i="1" s="1"/>
  <c r="AV41" i="1" s="1"/>
  <c r="AX41" i="1"/>
  <c r="BH41" i="1" l="1"/>
  <c r="AF42" i="1" s="1" a="1"/>
  <c r="AF42" i="1" s="1"/>
  <c r="AG42" i="1" s="1" a="1"/>
  <c r="AG42" i="1" s="1"/>
  <c r="AY41" i="1"/>
  <c r="BA41" i="1" s="1"/>
  <c r="BC41" i="1"/>
  <c r="BD41" i="1" s="1"/>
  <c r="BI41" i="1" l="1"/>
  <c r="BK41" i="1" s="1"/>
  <c r="BL41" i="1" s="1"/>
  <c r="BN41" i="1" s="1"/>
  <c r="AK42" i="1"/>
  <c r="AH42" i="1"/>
  <c r="AX42" i="1" l="1"/>
  <c r="AN42" i="1"/>
  <c r="AO42" i="1" s="1"/>
  <c r="AQ42" i="1" s="1"/>
  <c r="AL42" i="1"/>
  <c r="AS42" i="1"/>
  <c r="AT42" i="1" s="1"/>
  <c r="AV42" i="1" s="1"/>
  <c r="BG42" i="1"/>
  <c r="BF42" i="1"/>
  <c r="BH42" i="1" l="1"/>
  <c r="BI42" i="1" s="1"/>
  <c r="BK42" i="1" s="1"/>
  <c r="BL42" i="1" s="1"/>
  <c r="BN42" i="1" s="1"/>
  <c r="BC42" i="1"/>
  <c r="BD42" i="1" s="1"/>
  <c r="AY42" i="1"/>
  <c r="BA42" i="1" s="1"/>
  <c r="AF43" i="1" l="1" a="1"/>
  <c r="AF43" i="1" s="1"/>
  <c r="AG43" i="1" s="1" a="1"/>
  <c r="AG43" i="1" s="1"/>
  <c r="AK43" i="1" s="1"/>
  <c r="AH43" i="1" l="1"/>
  <c r="BF43" i="1" s="1"/>
  <c r="AL43" i="1"/>
  <c r="AX43" i="1"/>
  <c r="AS43" i="1"/>
  <c r="AT43" i="1" s="1"/>
  <c r="AN43" i="1"/>
  <c r="AO43" i="1" s="1"/>
  <c r="BG43" i="1" l="1"/>
  <c r="BH43" i="1" s="1"/>
  <c r="AQ43" i="1"/>
  <c r="AR8" i="1"/>
  <c r="AQ8" i="1"/>
  <c r="AV43" i="1"/>
  <c r="AW8" i="1"/>
  <c r="AY43" i="1"/>
  <c r="BC43" i="1"/>
  <c r="BD43" i="1" s="1"/>
  <c r="BI43" i="1" l="1"/>
  <c r="BK43" i="1" s="1"/>
  <c r="BL43" i="1" s="1"/>
  <c r="BN43" i="1" s="1"/>
  <c r="AF44" i="1" a="1"/>
  <c r="AF44" i="1" s="1"/>
  <c r="AG44" i="1" s="1" a="1"/>
  <c r="AG44" i="1" s="1"/>
  <c r="AK44" i="1" s="1"/>
  <c r="BA43" i="1"/>
  <c r="BC8" i="1"/>
  <c r="AH44" i="1" l="1"/>
  <c r="BF44" i="1" s="1"/>
  <c r="AX44" i="1"/>
  <c r="AS44" i="1"/>
  <c r="AT44" i="1" s="1"/>
  <c r="AV44" i="1" s="1"/>
  <c r="AN44" i="1"/>
  <c r="AO44" i="1" s="1"/>
  <c r="AQ44" i="1" s="1"/>
  <c r="AL44" i="1"/>
  <c r="BG44" i="1" l="1"/>
  <c r="BH44" i="1" s="1"/>
  <c r="BC44" i="1"/>
  <c r="BD44" i="1" s="1"/>
  <c r="AY44" i="1"/>
  <c r="BA44" i="1" s="1"/>
  <c r="BI44" i="1" l="1"/>
  <c r="BK44" i="1" s="1"/>
  <c r="BL44" i="1" s="1"/>
  <c r="BN44" i="1" s="1"/>
  <c r="AF45" i="1" a="1"/>
  <c r="AF45" i="1" s="1"/>
  <c r="AG45" i="1" s="1" a="1"/>
  <c r="AG45" i="1" s="1"/>
  <c r="AK45" i="1" l="1"/>
  <c r="AH45" i="1"/>
  <c r="BG45" i="1" l="1"/>
  <c r="BF45" i="1"/>
  <c r="AX45" i="1"/>
  <c r="AS45" i="1"/>
  <c r="AT45" i="1" s="1"/>
  <c r="AV45" i="1" s="1"/>
  <c r="AN45" i="1"/>
  <c r="AO45" i="1" s="1"/>
  <c r="AQ45" i="1" s="1"/>
  <c r="AL45" i="1"/>
  <c r="BH45" i="1" l="1"/>
  <c r="AF46" i="1" s="1" a="1"/>
  <c r="AF46" i="1" s="1"/>
  <c r="AG46" i="1" s="1" a="1"/>
  <c r="AG46" i="1" s="1"/>
  <c r="AY45" i="1"/>
  <c r="BA45" i="1" s="1"/>
  <c r="BC45" i="1"/>
  <c r="BD45" i="1" s="1"/>
  <c r="BI45" i="1" l="1"/>
  <c r="BK45" i="1" s="1"/>
  <c r="BL45" i="1" s="1"/>
  <c r="BN45" i="1" s="1"/>
  <c r="AK46" i="1"/>
  <c r="AH46" i="1"/>
  <c r="BF46" i="1" l="1"/>
  <c r="BG46" i="1"/>
  <c r="AX46" i="1"/>
  <c r="AS46" i="1"/>
  <c r="AT46" i="1" s="1"/>
  <c r="AN46" i="1"/>
  <c r="AO46" i="1" s="1"/>
  <c r="AL46" i="1"/>
  <c r="AQ46" i="1" l="1"/>
  <c r="AQ9" i="1"/>
  <c r="AV46" i="1"/>
  <c r="AX9" i="1"/>
  <c r="AY46" i="1"/>
  <c r="BC46" i="1"/>
  <c r="BD46" i="1" s="1"/>
  <c r="BH46" i="1"/>
  <c r="BI46" i="1" l="1"/>
  <c r="BK46" i="1" s="1"/>
  <c r="BL46" i="1" s="1"/>
  <c r="BN46" i="1" s="1"/>
  <c r="AF47" i="1" a="1"/>
  <c r="AF47" i="1" s="1"/>
  <c r="AG47" i="1" s="1" a="1"/>
  <c r="AG47" i="1" s="1"/>
  <c r="BA46" i="1"/>
  <c r="BC9" i="1"/>
  <c r="AK47" i="1" l="1"/>
  <c r="AH47" i="1"/>
  <c r="BG47" i="1" l="1"/>
  <c r="BF47" i="1"/>
  <c r="AX47" i="1"/>
  <c r="AS47" i="1"/>
  <c r="AT47" i="1" s="1"/>
  <c r="AV47" i="1" s="1"/>
  <c r="AN47" i="1"/>
  <c r="AO47" i="1" s="1"/>
  <c r="AQ47" i="1" s="1"/>
  <c r="AL47" i="1"/>
  <c r="BH47" i="1" l="1"/>
  <c r="BI47" i="1" s="1"/>
  <c r="BK47" i="1" s="1"/>
  <c r="BL47" i="1" s="1"/>
  <c r="BN47" i="1" s="1"/>
  <c r="BC47" i="1"/>
  <c r="BD47" i="1" s="1"/>
  <c r="AY47" i="1"/>
  <c r="BA47" i="1" s="1"/>
  <c r="AF48" i="1" l="1" a="1"/>
  <c r="AF48" i="1" s="1"/>
  <c r="AG48" i="1" s="1" a="1"/>
  <c r="AG48" i="1" s="1"/>
  <c r="AH48" i="1" s="1"/>
  <c r="AK48" i="1" l="1"/>
  <c r="AS48" i="1" s="1"/>
  <c r="AT48" i="1" s="1"/>
  <c r="AV48" i="1" s="1"/>
  <c r="BG48" i="1"/>
  <c r="BF48" i="1"/>
  <c r="AX48" i="1" l="1"/>
  <c r="AL48" i="1"/>
  <c r="AN48" i="1"/>
  <c r="AO48" i="1" s="1"/>
  <c r="AQ48" i="1" s="1"/>
  <c r="BH48" i="1"/>
  <c r="BI48" i="1" s="1"/>
  <c r="BK48" i="1" s="1"/>
  <c r="BL48" i="1" s="1"/>
  <c r="BN48" i="1" s="1"/>
  <c r="BC48" i="1" l="1"/>
  <c r="BD48" i="1" s="1"/>
  <c r="AY48" i="1"/>
  <c r="BA48" i="1" s="1"/>
  <c r="AF49" i="1" a="1"/>
  <c r="AF49" i="1" s="1"/>
  <c r="AG49" i="1" s="1" a="1"/>
  <c r="AG49" i="1" s="1"/>
  <c r="AK49" i="1" s="1"/>
  <c r="AH49" i="1" l="1"/>
  <c r="BG49" i="1" s="1"/>
  <c r="AX49" i="1"/>
  <c r="AS49" i="1"/>
  <c r="AT49" i="1" s="1"/>
  <c r="AN49" i="1"/>
  <c r="AO49" i="1" s="1"/>
  <c r="AL49" i="1"/>
  <c r="BF49" i="1" l="1"/>
  <c r="BH49" i="1" s="1"/>
  <c r="AF50" i="1" s="1" a="1"/>
  <c r="AF50" i="1" s="1"/>
  <c r="AG50" i="1" s="1" a="1"/>
  <c r="AG50" i="1" s="1"/>
  <c r="AQ49" i="1"/>
  <c r="AQ13" i="1"/>
  <c r="AV49" i="1"/>
  <c r="AW13" i="1"/>
  <c r="AY49" i="1"/>
  <c r="BC49" i="1"/>
  <c r="BD49" i="1" s="1"/>
  <c r="BI49" i="1" l="1"/>
  <c r="BK49" i="1" s="1"/>
  <c r="BL49" i="1" s="1"/>
  <c r="BN49" i="1" s="1"/>
  <c r="AK50" i="1"/>
  <c r="AH50" i="1"/>
  <c r="BA49" i="1"/>
  <c r="BD13" i="1"/>
  <c r="BC13" i="1"/>
  <c r="BF50" i="1" l="1"/>
  <c r="BG50" i="1"/>
  <c r="AS50" i="1"/>
  <c r="AT50" i="1" s="1"/>
  <c r="AV50" i="1" s="1"/>
  <c r="AN50" i="1"/>
  <c r="AO50" i="1" s="1"/>
  <c r="AQ50" i="1" s="1"/>
  <c r="AL50" i="1"/>
  <c r="AX50" i="1"/>
  <c r="BC50" i="1" l="1"/>
  <c r="BD50" i="1" s="1"/>
  <c r="AY50" i="1"/>
  <c r="BA50" i="1" s="1"/>
  <c r="BH50" i="1"/>
  <c r="BI50" i="1" l="1"/>
  <c r="BK50" i="1" s="1"/>
  <c r="BL50" i="1" s="1"/>
  <c r="BN50" i="1" s="1"/>
  <c r="AF51" i="1" a="1"/>
  <c r="AF51" i="1" s="1"/>
  <c r="AG51" i="1" s="1" a="1"/>
  <c r="AG51" i="1" s="1"/>
  <c r="AY12" i="1" l="1"/>
  <c r="AK51" i="1"/>
  <c r="AH51" i="1"/>
  <c r="BG51" i="1" l="1"/>
  <c r="BF51" i="1"/>
  <c r="AL51" i="1"/>
  <c r="AN51" i="1"/>
  <c r="AO51" i="1" s="1"/>
  <c r="AQ51" i="1" s="1"/>
  <c r="AX51" i="1"/>
  <c r="AS51" i="1"/>
  <c r="AT51" i="1" s="1"/>
  <c r="AV51" i="1" s="1"/>
  <c r="AZ12" i="1"/>
  <c r="BI12" i="1" s="1"/>
  <c r="BJ12" i="1" s="1"/>
  <c r="BH51" i="1" l="1"/>
  <c r="BI51" i="1" s="1"/>
  <c r="BK51" i="1" s="1"/>
  <c r="BL51" i="1" s="1"/>
  <c r="BN51" i="1" s="1"/>
  <c r="BC51" i="1"/>
  <c r="BD51" i="1" s="1"/>
  <c r="AY51" i="1"/>
  <c r="BA51" i="1" s="1"/>
  <c r="AF52" i="1" l="1" a="1"/>
  <c r="AF52" i="1" s="1"/>
  <c r="AG52" i="1" s="1" a="1"/>
  <c r="AG52" i="1" s="1"/>
  <c r="AK52" i="1" s="1"/>
  <c r="AH52" i="1" l="1"/>
  <c r="BF52" i="1" s="1"/>
  <c r="AS52" i="1"/>
  <c r="AT52" i="1" s="1"/>
  <c r="AV52" i="1" s="1"/>
  <c r="AN52" i="1"/>
  <c r="AO52" i="1" s="1"/>
  <c r="AQ52" i="1" s="1"/>
  <c r="AL52" i="1"/>
  <c r="AX52" i="1"/>
  <c r="BG52" i="1" l="1"/>
  <c r="BH52" i="1" s="1"/>
  <c r="BC52" i="1"/>
  <c r="BD52" i="1" s="1"/>
  <c r="AY52" i="1"/>
  <c r="BA52" i="1" s="1"/>
  <c r="BI52" i="1" l="1"/>
  <c r="BK52" i="1" s="1"/>
  <c r="BL52" i="1" s="1"/>
  <c r="BN52" i="1" s="1"/>
  <c r="AF53" i="1" a="1"/>
  <c r="AF53" i="1" s="1"/>
  <c r="AG53" i="1" s="1" a="1"/>
  <c r="AG53" i="1" s="1"/>
  <c r="AS8" i="1"/>
  <c r="AT8" i="1" l="1"/>
  <c r="BI8" i="1" s="1"/>
  <c r="AK53" i="1"/>
  <c r="AH53" i="1"/>
  <c r="BF53" i="1" l="1"/>
  <c r="BG53" i="1"/>
  <c r="BJ8" i="1"/>
  <c r="AL53" i="1"/>
  <c r="AX53" i="1"/>
  <c r="AS53" i="1"/>
  <c r="AT53" i="1" s="1"/>
  <c r="AN53" i="1"/>
  <c r="AO53" i="1" s="1"/>
  <c r="AQ53" i="1" l="1"/>
  <c r="AR10" i="1"/>
  <c r="AQ10" i="1"/>
  <c r="AV53" i="1"/>
  <c r="AW10" i="1"/>
  <c r="BC53" i="1"/>
  <c r="BD53" i="1" s="1"/>
  <c r="AY53" i="1"/>
  <c r="BH53" i="1"/>
  <c r="BI53" i="1" l="1"/>
  <c r="BK53" i="1" s="1"/>
  <c r="BL53" i="1" s="1"/>
  <c r="BN53" i="1" s="1"/>
  <c r="AF54" i="1" a="1"/>
  <c r="AF54" i="1" s="1"/>
  <c r="AG54" i="1" s="1" a="1"/>
  <c r="AG54" i="1" s="1"/>
  <c r="BA53" i="1"/>
  <c r="BC10" i="1"/>
  <c r="AK54" i="1" l="1"/>
  <c r="AH54" i="1"/>
  <c r="BG54" i="1" l="1"/>
  <c r="BF54" i="1"/>
  <c r="AN54" i="1"/>
  <c r="AO54" i="1" s="1"/>
  <c r="AQ54" i="1" s="1"/>
  <c r="AS54" i="1"/>
  <c r="AT54" i="1" s="1"/>
  <c r="AV54" i="1" s="1"/>
  <c r="AX54" i="1"/>
  <c r="AL54" i="1"/>
  <c r="BH54" i="1" l="1"/>
  <c r="BI54" i="1" s="1"/>
  <c r="BK54" i="1" s="1"/>
  <c r="BL54" i="1" s="1"/>
  <c r="BN54" i="1" s="1"/>
  <c r="BC54" i="1"/>
  <c r="BD54" i="1" s="1"/>
  <c r="AY54" i="1"/>
  <c r="BA54" i="1" s="1"/>
  <c r="AF55" i="1" l="1" a="1"/>
  <c r="AF55" i="1" s="1"/>
  <c r="AG55" i="1" s="1" a="1"/>
  <c r="AG55" i="1" s="1"/>
  <c r="AK55" i="1" s="1"/>
  <c r="AH55" i="1" l="1"/>
  <c r="BG55" i="1" s="1"/>
  <c r="AL55" i="1"/>
  <c r="AS55" i="1"/>
  <c r="AT55" i="1" s="1"/>
  <c r="AV55" i="1" s="1"/>
  <c r="AN55" i="1"/>
  <c r="AO55" i="1" s="1"/>
  <c r="AQ55" i="1" s="1"/>
  <c r="AX55" i="1"/>
  <c r="BF55" i="1" l="1"/>
  <c r="BH55" i="1" s="1"/>
  <c r="BI55" i="1" s="1"/>
  <c r="BK55" i="1" s="1"/>
  <c r="BL55" i="1" s="1"/>
  <c r="BN55" i="1" s="1"/>
  <c r="BC55" i="1"/>
  <c r="BD55" i="1" s="1"/>
  <c r="AY55" i="1"/>
  <c r="BA55" i="1" s="1"/>
  <c r="AF56" i="1" l="1" a="1"/>
  <c r="AF56" i="1" s="1"/>
  <c r="AG56" i="1" s="1" a="1"/>
  <c r="AG56" i="1" s="1"/>
  <c r="AK56" i="1" s="1"/>
  <c r="AH56" i="1" l="1"/>
  <c r="BG56" i="1" s="1"/>
  <c r="AL56" i="1"/>
  <c r="AS56" i="1"/>
  <c r="AT56" i="1" s="1"/>
  <c r="AV56" i="1" s="1"/>
  <c r="AN56" i="1"/>
  <c r="AO56" i="1" s="1"/>
  <c r="AQ56" i="1" s="1"/>
  <c r="AX56" i="1"/>
  <c r="BF56" i="1" l="1"/>
  <c r="BH56" i="1" s="1"/>
  <c r="AY56" i="1"/>
  <c r="BA56" i="1" s="1"/>
  <c r="BC56" i="1"/>
  <c r="BD56" i="1" s="1"/>
  <c r="BI56" i="1" l="1"/>
  <c r="BK56" i="1" s="1"/>
  <c r="BL56" i="1" s="1"/>
  <c r="BN56" i="1" s="1"/>
  <c r="AF57" i="1" a="1"/>
  <c r="AF57" i="1" s="1"/>
  <c r="AG57" i="1" s="1" a="1"/>
  <c r="AG57" i="1" s="1"/>
  <c r="AK57" i="1" l="1"/>
  <c r="AH57" i="1"/>
  <c r="BG57" i="1" l="1"/>
  <c r="BF57" i="1"/>
  <c r="AX57" i="1"/>
  <c r="AS57" i="1"/>
  <c r="AT57" i="1" s="1"/>
  <c r="AV57" i="1" s="1"/>
  <c r="AN57" i="1"/>
  <c r="AO57" i="1" s="1"/>
  <c r="AQ57" i="1" s="1"/>
  <c r="AL57" i="1"/>
  <c r="BH57" i="1" l="1"/>
  <c r="BI57" i="1" s="1"/>
  <c r="BK57" i="1" s="1"/>
  <c r="BL57" i="1" s="1"/>
  <c r="BN57" i="1" s="1"/>
  <c r="AY57" i="1"/>
  <c r="BA57" i="1" s="1"/>
  <c r="BC57" i="1"/>
  <c r="BD57" i="1" s="1"/>
  <c r="AF58" i="1" l="1" a="1"/>
  <c r="AF58" i="1" s="1"/>
  <c r="AG58" i="1" s="1" a="1"/>
  <c r="AG58" i="1" s="1"/>
  <c r="AK58" i="1" s="1"/>
  <c r="AH58" i="1" l="1"/>
  <c r="BG58" i="1" s="1"/>
  <c r="AX58" i="1"/>
  <c r="AN58" i="1"/>
  <c r="AO58" i="1" s="1"/>
  <c r="AQ58" i="1" s="1"/>
  <c r="AL58" i="1"/>
  <c r="AS58" i="1"/>
  <c r="AT58" i="1" s="1"/>
  <c r="AV58" i="1" s="1"/>
  <c r="BF58" i="1" l="1"/>
  <c r="BH58" i="1" s="1"/>
  <c r="AF59" i="1" s="1" a="1"/>
  <c r="AF59" i="1" s="1"/>
  <c r="AG59" i="1" s="1" a="1"/>
  <c r="AG59" i="1" s="1"/>
  <c r="BC58" i="1"/>
  <c r="BD58" i="1" s="1"/>
  <c r="AY58" i="1"/>
  <c r="BA58" i="1" s="1"/>
  <c r="BI58" i="1" l="1"/>
  <c r="BK58" i="1" s="1"/>
  <c r="BL58" i="1" s="1"/>
  <c r="BN58" i="1" s="1"/>
  <c r="AK59" i="1"/>
  <c r="AH59" i="1"/>
  <c r="BG59" i="1" l="1"/>
  <c r="BF59" i="1"/>
  <c r="AS59" i="1"/>
  <c r="AT59" i="1" s="1"/>
  <c r="AV59" i="1" s="1"/>
  <c r="AX59" i="1"/>
  <c r="AN59" i="1"/>
  <c r="AO59" i="1" s="1"/>
  <c r="AQ59" i="1" s="1"/>
  <c r="AL59" i="1"/>
  <c r="BH59" i="1" l="1"/>
  <c r="BI59" i="1" s="1"/>
  <c r="BK59" i="1" s="1"/>
  <c r="BL59" i="1" s="1"/>
  <c r="BN59" i="1" s="1"/>
  <c r="AY59" i="1"/>
  <c r="BA59" i="1" s="1"/>
  <c r="BC59" i="1"/>
  <c r="BD59" i="1" s="1"/>
  <c r="AF60" i="1" l="1" a="1"/>
  <c r="AF60" i="1" s="1"/>
  <c r="AG60" i="1" s="1" a="1"/>
  <c r="AG60" i="1" s="1"/>
  <c r="AH60" i="1" s="1"/>
  <c r="BE13" i="1"/>
  <c r="AY9" i="1"/>
  <c r="AK60" i="1" l="1"/>
  <c r="AN60" i="1" s="1"/>
  <c r="AO60" i="1" s="1"/>
  <c r="AQ60" i="1" s="1"/>
  <c r="AZ9" i="1"/>
  <c r="BI9" i="1" s="1"/>
  <c r="BF60" i="1"/>
  <c r="BG60" i="1"/>
  <c r="BF13" i="1"/>
  <c r="BI13" i="1" s="1"/>
  <c r="BJ13" i="1" s="1"/>
  <c r="AS60" i="1" l="1"/>
  <c r="AT60" i="1" s="1"/>
  <c r="AV60" i="1" s="1"/>
  <c r="AX60" i="1"/>
  <c r="AL60" i="1"/>
  <c r="BH60" i="1"/>
  <c r="AF61" i="1" s="1" a="1"/>
  <c r="AF61" i="1" s="1"/>
  <c r="AG61" i="1" s="1" a="1"/>
  <c r="AG61" i="1" s="1"/>
  <c r="BJ9" i="1"/>
  <c r="BC60" i="1" l="1"/>
  <c r="BD60" i="1" s="1"/>
  <c r="AY60" i="1"/>
  <c r="BA60" i="1" s="1"/>
  <c r="BI60" i="1"/>
  <c r="BK60" i="1" s="1"/>
  <c r="BL60" i="1" s="1"/>
  <c r="BN60" i="1" s="1"/>
  <c r="AK61" i="1"/>
  <c r="AH61" i="1"/>
  <c r="BG61" i="1" l="1"/>
  <c r="BF61" i="1"/>
  <c r="AX61" i="1"/>
  <c r="AS61" i="1"/>
  <c r="AT61" i="1" s="1"/>
  <c r="AV61" i="1" s="1"/>
  <c r="AN61" i="1"/>
  <c r="AO61" i="1" s="1"/>
  <c r="AQ61" i="1" s="1"/>
  <c r="AL61" i="1"/>
  <c r="BH61" i="1" l="1"/>
  <c r="BI61" i="1" s="1"/>
  <c r="BK61" i="1" s="1"/>
  <c r="BL61" i="1" s="1"/>
  <c r="BN61" i="1" s="1"/>
  <c r="AY61" i="1"/>
  <c r="BA61" i="1" s="1"/>
  <c r="BC61" i="1"/>
  <c r="BD61" i="1" s="1"/>
  <c r="AF62" i="1" l="1" a="1"/>
  <c r="AF62" i="1" s="1"/>
  <c r="AG62" i="1" s="1" a="1"/>
  <c r="AG62" i="1" s="1"/>
  <c r="AK62" i="1" s="1"/>
  <c r="AH62" i="1" l="1"/>
  <c r="BG62" i="1" s="1"/>
  <c r="AS10" i="1"/>
  <c r="AX62" i="1"/>
  <c r="AS62" i="1"/>
  <c r="AT62" i="1" s="1"/>
  <c r="AV62" i="1" s="1"/>
  <c r="AN62" i="1"/>
  <c r="AO62" i="1" s="1"/>
  <c r="AQ62" i="1" s="1"/>
  <c r="AL62" i="1"/>
  <c r="BF62" i="1" l="1"/>
  <c r="BH62" i="1" s="1"/>
  <c r="BC62" i="1"/>
  <c r="BD62" i="1" s="1"/>
  <c r="AY62" i="1"/>
  <c r="BA62" i="1" s="1"/>
  <c r="AT10" i="1"/>
  <c r="BI10" i="1" s="1"/>
  <c r="BJ10" i="1" l="1"/>
  <c r="BI62" i="1"/>
  <c r="BK62" i="1" s="1"/>
  <c r="BL62" i="1" s="1"/>
  <c r="BN62" i="1" s="1"/>
  <c r="AF63" i="1" a="1"/>
  <c r="AF63" i="1" s="1"/>
  <c r="AG63" i="1" s="1" a="1"/>
  <c r="AG63" i="1" s="1"/>
  <c r="AK63" i="1" l="1"/>
  <c r="AH63" i="1"/>
  <c r="BG63" i="1" l="1"/>
  <c r="BF63" i="1"/>
  <c r="AX63" i="1"/>
  <c r="AS63" i="1"/>
  <c r="AT63" i="1" s="1"/>
  <c r="AN63" i="1"/>
  <c r="AO63" i="1" s="1"/>
  <c r="AL63" i="1"/>
  <c r="BH63" i="1" l="1"/>
  <c r="BI63" i="1" s="1"/>
  <c r="BK63" i="1" s="1"/>
  <c r="BL63" i="1" s="1"/>
  <c r="BN63" i="1" s="1"/>
  <c r="AQ63" i="1"/>
  <c r="AQ11" i="1"/>
  <c r="AR11" i="1"/>
  <c r="AV63" i="1"/>
  <c r="AW11" i="1"/>
  <c r="AY63" i="1"/>
  <c r="BC63" i="1"/>
  <c r="BD63" i="1" s="1"/>
  <c r="AF64" i="1" l="1" a="1"/>
  <c r="AF64" i="1" s="1"/>
  <c r="AG64" i="1" s="1" a="1"/>
  <c r="AG64" i="1" s="1"/>
  <c r="AH64" i="1" s="1"/>
  <c r="BA63" i="1"/>
  <c r="BC11" i="1"/>
  <c r="AK64" i="1" l="1"/>
  <c r="AX64" i="1" s="1"/>
  <c r="BG64" i="1"/>
  <c r="BF64" i="1"/>
  <c r="AN64" i="1" l="1"/>
  <c r="AO64" i="1" s="1"/>
  <c r="AQ64" i="1" s="1"/>
  <c r="AS64" i="1"/>
  <c r="AT64" i="1" s="1"/>
  <c r="AV64" i="1" s="1"/>
  <c r="AL64" i="1"/>
  <c r="BH64" i="1"/>
  <c r="AF65" i="1" s="1" a="1"/>
  <c r="AF65" i="1" s="1"/>
  <c r="AG65" i="1" s="1" a="1"/>
  <c r="AG65" i="1" s="1"/>
  <c r="AY64" i="1"/>
  <c r="BA64" i="1" s="1"/>
  <c r="BC64" i="1" l="1"/>
  <c r="BD64" i="1" s="1"/>
  <c r="BI64" i="1"/>
  <c r="BK64" i="1" s="1"/>
  <c r="BL64" i="1" s="1"/>
  <c r="BN64" i="1" s="1"/>
  <c r="AK65" i="1"/>
  <c r="AH65" i="1"/>
  <c r="BG65" i="1" l="1"/>
  <c r="BF65" i="1"/>
  <c r="AX65" i="1"/>
  <c r="AN65" i="1"/>
  <c r="AO65" i="1" s="1"/>
  <c r="AQ65" i="1" s="1"/>
  <c r="AL65" i="1"/>
  <c r="AS65" i="1"/>
  <c r="AT65" i="1" s="1"/>
  <c r="AV65" i="1" s="1"/>
  <c r="BH65" i="1" l="1"/>
  <c r="BI65" i="1" s="1"/>
  <c r="BK65" i="1" s="1"/>
  <c r="BL65" i="1" s="1"/>
  <c r="BN65" i="1" s="1"/>
  <c r="AY65" i="1"/>
  <c r="BA65" i="1" s="1"/>
  <c r="BC65" i="1"/>
  <c r="BD65" i="1" s="1"/>
  <c r="AF66" i="1" l="1" a="1"/>
  <c r="AF66" i="1" s="1"/>
  <c r="AG66" i="1" s="1" a="1"/>
  <c r="AG66" i="1" s="1"/>
  <c r="AK66" i="1" s="1"/>
  <c r="AH66" i="1" l="1"/>
  <c r="BG66" i="1" s="1"/>
  <c r="AS66" i="1"/>
  <c r="AT66" i="1" s="1"/>
  <c r="AN66" i="1"/>
  <c r="AO66" i="1" s="1"/>
  <c r="AQ66" i="1" s="1"/>
  <c r="AX66" i="1"/>
  <c r="AL66" i="1"/>
  <c r="BF66" i="1" l="1"/>
  <c r="BH66" i="1" s="1"/>
  <c r="BI66" i="1" s="1"/>
  <c r="BK66" i="1" s="1"/>
  <c r="BL66" i="1" s="1"/>
  <c r="BN66" i="1" s="1"/>
  <c r="BC66" i="1"/>
  <c r="BD66" i="1" s="1"/>
  <c r="AY66" i="1"/>
  <c r="AV66" i="1"/>
  <c r="AW12" i="1"/>
  <c r="AW9" i="1"/>
  <c r="BA66" i="1" l="1"/>
  <c r="BC12" i="1"/>
  <c r="AS11" i="1" l="1"/>
  <c r="AT11" i="1" l="1"/>
  <c r="BI11" i="1" s="1"/>
  <c r="BJ11" i="1" l="1"/>
  <c r="BH5" i="1"/>
  <c r="Q18" i="3" l="1"/>
  <c r="S18" i="3" s="1"/>
  <c r="P14" i="3" l="1"/>
  <c r="S14" i="3" s="1"/>
  <c r="Q15" i="3" l="1"/>
  <c r="S15" i="3" s="1"/>
  <c r="R19" i="3" l="1"/>
  <c r="S19" i="3" s="1"/>
  <c r="P16" i="3" l="1"/>
  <c r="S16" i="3" s="1"/>
  <c r="P17" i="3" l="1"/>
  <c r="S17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<sst xmlns="http://schemas.openxmlformats.org/spreadsheetml/2006/main" count="199" uniqueCount="125">
  <si>
    <t>Deviations allowed</t>
  </si>
  <si>
    <t>% Of Goals Met</t>
  </si>
  <si>
    <t>1 - being least imp</t>
  </si>
  <si>
    <t xml:space="preserve">Goal </t>
  </si>
  <si>
    <t>In Rs - Goal Value</t>
  </si>
  <si>
    <t>Total Surplus</t>
  </si>
  <si>
    <t>Source</t>
  </si>
  <si>
    <t>Goal</t>
  </si>
  <si>
    <t>Goal Importance</t>
  </si>
  <si>
    <t xml:space="preserve">At  Age </t>
  </si>
  <si>
    <t>Large Cap</t>
  </si>
  <si>
    <t>Goal Met ?</t>
  </si>
  <si>
    <t>Value At Age</t>
  </si>
  <si>
    <t>Surplus</t>
  </si>
  <si>
    <t>Wt_Adjusted_Surplus</t>
  </si>
  <si>
    <t>Mid Cap</t>
  </si>
  <si>
    <t>Small Cap</t>
  </si>
  <si>
    <t xml:space="preserve">Surplus </t>
  </si>
  <si>
    <t>Column1</t>
  </si>
  <si>
    <t>Total</t>
  </si>
  <si>
    <t xml:space="preserve">   </t>
  </si>
  <si>
    <t>Amt Invested</t>
  </si>
  <si>
    <t>Annual Increment</t>
  </si>
  <si>
    <t>Age</t>
  </si>
  <si>
    <t>Ad Hoc</t>
  </si>
  <si>
    <t>Total Expenses</t>
  </si>
  <si>
    <t>Total Income</t>
  </si>
  <si>
    <t>Balance</t>
  </si>
  <si>
    <t>Action</t>
  </si>
  <si>
    <t>Investment</t>
  </si>
  <si>
    <t>Cashflow to Savings A/C</t>
  </si>
  <si>
    <t>Investible Amt</t>
  </si>
  <si>
    <t>Invested Corpus
(prv year market value + new investment</t>
  </si>
  <si>
    <t>Savings Account</t>
  </si>
  <si>
    <t>Fixed Deposit</t>
  </si>
  <si>
    <t>Addition</t>
  </si>
  <si>
    <t>End Of Year Value</t>
  </si>
  <si>
    <t>Withdrawal</t>
  </si>
  <si>
    <t>Corpus</t>
  </si>
  <si>
    <t>Withdrwal</t>
  </si>
  <si>
    <t>Yearly Investment</t>
  </si>
  <si>
    <t>Total Invested</t>
  </si>
  <si>
    <t>Transfer to FD</t>
  </si>
  <si>
    <t>Year end Value</t>
  </si>
  <si>
    <t xml:space="preserve"> </t>
  </si>
  <si>
    <t>Insurance</t>
  </si>
  <si>
    <t>Household Expenses</t>
  </si>
  <si>
    <t>Medical Expenses</t>
  </si>
  <si>
    <t>Transport</t>
  </si>
  <si>
    <t>Retail Purchases</t>
  </si>
  <si>
    <t>Food</t>
  </si>
  <si>
    <t>General Expense</t>
  </si>
  <si>
    <t>Porbablity of Above Avg</t>
  </si>
  <si>
    <t>Probablity of Avg Performance</t>
  </si>
  <si>
    <t>Probablity of Below Avg Performance</t>
  </si>
  <si>
    <t>FD</t>
  </si>
  <si>
    <t>Ad Hoc Expenses</t>
  </si>
  <si>
    <t>Household Inflation</t>
  </si>
  <si>
    <t>Medical Inflation</t>
  </si>
  <si>
    <t>Energy Inflation</t>
  </si>
  <si>
    <t>Retail Inflation</t>
  </si>
  <si>
    <t>Food Inflation</t>
  </si>
  <si>
    <t>Inflation</t>
  </si>
  <si>
    <t>Probablities</t>
  </si>
  <si>
    <t>Investment Returns</t>
  </si>
  <si>
    <t>Growth</t>
  </si>
  <si>
    <t>-</t>
  </si>
  <si>
    <t>Growth &lt; Inflation</t>
  </si>
  <si>
    <t>Bad</t>
  </si>
  <si>
    <t>Growth = Inflation</t>
  </si>
  <si>
    <t>Mid</t>
  </si>
  <si>
    <t>+</t>
  </si>
  <si>
    <t>Growth &gt; Inflation</t>
  </si>
  <si>
    <t>Good</t>
  </si>
  <si>
    <t xml:space="preserve">Real Return </t>
  </si>
  <si>
    <t>Probability</t>
  </si>
  <si>
    <t>Case</t>
  </si>
  <si>
    <t>Expense Infaltion</t>
  </si>
  <si>
    <t xml:space="preserve">Name </t>
  </si>
  <si>
    <t>Gaurav Agarwal</t>
  </si>
  <si>
    <t>Start Age</t>
  </si>
  <si>
    <t>Goal Age</t>
  </si>
  <si>
    <t>Portfolio Structure</t>
  </si>
  <si>
    <t>Income</t>
  </si>
  <si>
    <t>Expenses</t>
  </si>
  <si>
    <t>Scenario Structure</t>
  </si>
  <si>
    <t>Annual</t>
  </si>
  <si>
    <t>Share (%)</t>
  </si>
  <si>
    <t>Best</t>
  </si>
  <si>
    <t>Medium</t>
  </si>
  <si>
    <t>Worst</t>
  </si>
  <si>
    <t>1 - least imp</t>
  </si>
  <si>
    <t>Minimum amount to invest</t>
  </si>
  <si>
    <t>3 - most imp</t>
  </si>
  <si>
    <t>Yearly Increment in Investment Amount</t>
  </si>
  <si>
    <t>% of Goals Met</t>
  </si>
  <si>
    <t>Category</t>
  </si>
  <si>
    <t>in Rs</t>
  </si>
  <si>
    <t>in %</t>
  </si>
  <si>
    <t>Select The Sceanario</t>
  </si>
  <si>
    <t>Salary</t>
  </si>
  <si>
    <t>EMI</t>
  </si>
  <si>
    <t>Own Health Fund</t>
  </si>
  <si>
    <t>Rent</t>
  </si>
  <si>
    <t>Entertainment</t>
  </si>
  <si>
    <t>Marriage</t>
  </si>
  <si>
    <t>Interest</t>
  </si>
  <si>
    <t>Children Education</t>
  </si>
  <si>
    <t>Chosen Scenario</t>
  </si>
  <si>
    <t>Business Income</t>
  </si>
  <si>
    <t>Recreation</t>
  </si>
  <si>
    <t>House</t>
  </si>
  <si>
    <t>Bank Structure</t>
  </si>
  <si>
    <t>Other Income</t>
  </si>
  <si>
    <t>Medical expenses</t>
  </si>
  <si>
    <t>Car</t>
  </si>
  <si>
    <t>Min Balance</t>
  </si>
  <si>
    <t>Luxury</t>
  </si>
  <si>
    <t>Abroad Vacation</t>
  </si>
  <si>
    <t>FD Amount</t>
  </si>
  <si>
    <t>Transportation</t>
  </si>
  <si>
    <t>Opening Bank Bal</t>
  </si>
  <si>
    <t>Large</t>
  </si>
  <si>
    <t xml:space="preserve">Large Cap </t>
  </si>
  <si>
    <t>Mid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</si>
</sst>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₹&quot;\ #,##0;[Red]&quot;₹&quot;\ \-#,##0"/>
    <numFmt numFmtId="164" formatCode="#,##0,&quot;K&quot;"/>
  </numFmts>
  <fonts count="2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0"/>
      <name val="Aptos Narrow"/>
    </font>
    <font>
      <sz val="11"/>
      <name val="Aptos Narrow"/>
    </font>
    <font>
      <b/>
      <sz val="11"/>
      <color theme="0"/>
      <name val="Aptos Narrow"/>
      <family val="2"/>
    </font>
    <font>
      <b/>
      <sz val="11"/>
      <color theme="0"/>
      <name val="Aptos Narrow"/>
      <scheme val="minor"/>
    </font>
    <font>
      <b/>
      <sz val="11"/>
      <color theme="0"/>
      <name val="Aptos Narrow"/>
    </font>
    <font>
      <sz val="11"/>
      <color rgb="FF0000FF"/>
      <name val="Arial"/>
    </font>
    <font>
      <sz val="11"/>
      <color rgb="FF0000FF"/>
      <name val="Aptos Narrow"/>
    </font>
    <font>
      <sz val="11"/>
      <color theme="1"/>
      <name val="Arial"/>
    </font>
    <font>
      <b/>
      <sz val="11"/>
      <color theme="0"/>
      <name val="Arial"/>
    </font>
    <font>
      <b/>
      <sz val="11"/>
      <color theme="1"/>
      <name val="Aptos Narrow"/>
    </font>
    <font>
      <b/>
      <sz val="11"/>
      <color rgb="FF153D64"/>
      <name val="Aptos Narrow"/>
    </font>
    <font>
      <sz val="11"/>
      <color theme="1"/>
      <name val="Aptos Narrow"/>
      <family val="2"/>
    </font>
    <font>
      <sz val="12"/>
      <color theme="0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4"/>
        <bgColor theme="4"/>
      </patternFill>
    </fill>
    <fill>
      <patternFill patternType="solid">
        <fgColor rgb="FFC0E4F5"/>
        <bgColor rgb="FFC0E4F5"/>
      </patternFill>
    </fill>
    <fill>
      <patternFill patternType="solid">
        <fgColor rgb="FF82CAEB"/>
        <bgColor rgb="FF82CAEB"/>
      </patternFill>
    </fill>
    <fill>
      <patternFill patternType="solid">
        <fgColor rgb="FFFF9F9F"/>
        <bgColor rgb="FFFF9F9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43AFE2"/>
      </top>
      <bottom/>
      <diagonal/>
    </border>
    <border>
      <left/>
      <right style="thin">
        <color rgb="FF43AFE2"/>
      </right>
      <top style="thin">
        <color rgb="FF43AFE2"/>
      </top>
      <bottom/>
      <diagonal/>
    </border>
    <border>
      <left style="thin">
        <color rgb="FF43AFE2"/>
      </left>
      <right/>
      <top style="thin">
        <color rgb="FF43AFE2"/>
      </top>
      <bottom/>
      <diagonal/>
    </border>
    <border>
      <left/>
      <right/>
      <top style="thin">
        <color rgb="FF43AFE2"/>
      </top>
      <bottom style="thin">
        <color rgb="FF43AFE2"/>
      </bottom>
      <diagonal/>
    </border>
    <border>
      <left/>
      <right/>
      <top/>
      <bottom style="thin">
        <color rgb="FF43AFE2"/>
      </bottom>
      <diagonal/>
    </border>
    <border>
      <left style="thin">
        <color rgb="FF43AFE2"/>
      </left>
      <right/>
      <top/>
      <bottom/>
      <diagonal/>
    </border>
    <border>
      <left/>
      <right style="thin">
        <color rgb="FF43AFE2"/>
      </right>
      <top style="thin">
        <color rgb="FF43AFE2"/>
      </top>
      <bottom style="thin">
        <color rgb="FF43AFE2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81">
    <xf numFmtId="0" fontId="0" fillId="0" borderId="0" xfId="0"/>
    <xf numFmtId="9" fontId="0" fillId="0" borderId="0" xfId="1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4" fillId="0" borderId="0" xfId="0" applyFont="1"/>
    <xf numFmtId="0" fontId="3" fillId="3" borderId="0" xfId="0" applyFont="1" applyFill="1"/>
    <xf numFmtId="0" fontId="10" fillId="3" borderId="0" xfId="0" applyFont="1" applyFill="1"/>
    <xf numFmtId="0" fontId="11" fillId="3" borderId="0" xfId="0" applyFont="1" applyFill="1"/>
    <xf numFmtId="0" fontId="12" fillId="3" borderId="0" xfId="0" applyFont="1" applyFill="1"/>
    <xf numFmtId="0" fontId="7" fillId="4" borderId="0" xfId="0" applyFont="1" applyFill="1"/>
    <xf numFmtId="0" fontId="0" fillId="4" borderId="0" xfId="0" applyFill="1"/>
    <xf numFmtId="0" fontId="0" fillId="5" borderId="0" xfId="0" applyFill="1"/>
    <xf numFmtId="0" fontId="7" fillId="5" borderId="0" xfId="0" applyFont="1" applyFill="1"/>
    <xf numFmtId="6" fontId="0" fillId="4" borderId="0" xfId="0" applyNumberFormat="1" applyFill="1"/>
    <xf numFmtId="3" fontId="7" fillId="0" borderId="0" xfId="0" applyNumberFormat="1" applyFont="1"/>
    <xf numFmtId="10" fontId="13" fillId="0" borderId="0" xfId="0" applyNumberFormat="1" applyFont="1"/>
    <xf numFmtId="3" fontId="7" fillId="0" borderId="0" xfId="0" applyNumberFormat="1" applyFont="1" applyAlignment="1">
      <alignment wrapText="1"/>
    </xf>
    <xf numFmtId="10" fontId="14" fillId="0" borderId="0" xfId="0" applyNumberFormat="1" applyFont="1"/>
    <xf numFmtId="2" fontId="7" fillId="0" borderId="0" xfId="0" applyNumberFormat="1" applyFont="1"/>
    <xf numFmtId="10" fontId="7" fillId="0" borderId="0" xfId="0" applyNumberFormat="1" applyFont="1"/>
    <xf numFmtId="3" fontId="15" fillId="0" borderId="0" xfId="0" applyNumberFormat="1" applyFont="1"/>
    <xf numFmtId="3" fontId="13" fillId="0" borderId="0" xfId="0" applyNumberFormat="1" applyFont="1"/>
    <xf numFmtId="3" fontId="12" fillId="3" borderId="1" xfId="0" applyNumberFormat="1" applyFont="1" applyFill="1" applyBorder="1"/>
    <xf numFmtId="0" fontId="12" fillId="3" borderId="1" xfId="0" applyFont="1" applyFill="1" applyBorder="1"/>
    <xf numFmtId="3" fontId="16" fillId="3" borderId="1" xfId="0" applyNumberFormat="1" applyFont="1" applyFill="1" applyBorder="1"/>
    <xf numFmtId="3" fontId="17" fillId="6" borderId="2" xfId="0" applyNumberFormat="1" applyFont="1" applyFill="1" applyBorder="1"/>
    <xf numFmtId="3" fontId="10" fillId="3" borderId="1" xfId="0" applyNumberFormat="1" applyFont="1" applyFill="1" applyBorder="1"/>
    <xf numFmtId="3" fontId="12" fillId="3" borderId="3" xfId="0" applyNumberFormat="1" applyFont="1" applyFill="1" applyBorder="1"/>
    <xf numFmtId="3" fontId="12" fillId="3" borderId="1" xfId="0" applyNumberFormat="1" applyFont="1" applyFill="1" applyBorder="1" applyAlignment="1">
      <alignment wrapText="1"/>
    </xf>
    <xf numFmtId="3" fontId="12" fillId="3" borderId="0" xfId="0" applyNumberFormat="1" applyFont="1" applyFill="1"/>
    <xf numFmtId="3" fontId="12" fillId="3" borderId="5" xfId="0" applyNumberFormat="1" applyFont="1" applyFill="1" applyBorder="1"/>
    <xf numFmtId="3" fontId="12" fillId="3" borderId="2" xfId="0" applyNumberFormat="1" applyFont="1" applyFill="1" applyBorder="1"/>
    <xf numFmtId="3" fontId="12" fillId="3" borderId="6" xfId="0" applyNumberFormat="1" applyFont="1" applyFill="1" applyBorder="1"/>
    <xf numFmtId="1" fontId="7" fillId="0" borderId="0" xfId="0" applyNumberFormat="1" applyFont="1"/>
    <xf numFmtId="3" fontId="18" fillId="4" borderId="1" xfId="0" applyNumberFormat="1" applyFont="1" applyFill="1" applyBorder="1"/>
    <xf numFmtId="3" fontId="18" fillId="4" borderId="0" xfId="0" applyNumberFormat="1" applyFont="1" applyFill="1"/>
    <xf numFmtId="3" fontId="10" fillId="3" borderId="0" xfId="0" applyNumberFormat="1" applyFont="1" applyFill="1"/>
    <xf numFmtId="1" fontId="7" fillId="4" borderId="1" xfId="0" applyNumberFormat="1" applyFont="1" applyFill="1" applyBorder="1"/>
    <xf numFmtId="164" fontId="7" fillId="4" borderId="1" xfId="0" applyNumberFormat="1" applyFont="1" applyFill="1" applyBorder="1"/>
    <xf numFmtId="164" fontId="7" fillId="0" borderId="0" xfId="0" applyNumberFormat="1" applyFont="1"/>
    <xf numFmtId="164" fontId="7" fillId="6" borderId="2" xfId="0" applyNumberFormat="1" applyFont="1" applyFill="1" applyBorder="1"/>
    <xf numFmtId="1" fontId="7" fillId="0" borderId="1" xfId="0" applyNumberFormat="1" applyFont="1" applyBorder="1"/>
    <xf numFmtId="164" fontId="7" fillId="0" borderId="1" xfId="0" applyNumberFormat="1" applyFont="1" applyBorder="1"/>
    <xf numFmtId="164" fontId="19" fillId="0" borderId="0" xfId="0" applyNumberFormat="1" applyFont="1"/>
    <xf numFmtId="1" fontId="7" fillId="4" borderId="4" xfId="0" applyNumberFormat="1" applyFont="1" applyFill="1" applyBorder="1"/>
    <xf numFmtId="0" fontId="7" fillId="4" borderId="4" xfId="0" applyFont="1" applyFill="1" applyBorder="1"/>
    <xf numFmtId="3" fontId="7" fillId="6" borderId="2" xfId="0" applyNumberFormat="1" applyFont="1" applyFill="1" applyBorder="1"/>
    <xf numFmtId="4" fontId="7" fillId="0" borderId="0" xfId="0" applyNumberFormat="1" applyFont="1"/>
    <xf numFmtId="1" fontId="7" fillId="4" borderId="5" xfId="0" applyNumberFormat="1" applyFont="1" applyFill="1" applyBorder="1"/>
    <xf numFmtId="3" fontId="7" fillId="4" borderId="7" xfId="0" applyNumberFormat="1" applyFont="1" applyFill="1" applyBorder="1"/>
    <xf numFmtId="3" fontId="7" fillId="4" borderId="0" xfId="0" applyNumberFormat="1" applyFont="1" applyFill="1"/>
    <xf numFmtId="9" fontId="7" fillId="0" borderId="0" xfId="0" applyNumberFormat="1" applyFont="1"/>
    <xf numFmtId="9" fontId="6" fillId="0" borderId="0" xfId="0" applyNumberFormat="1" applyFont="1"/>
    <xf numFmtId="0" fontId="0" fillId="0" borderId="0" xfId="0" applyAlignment="1">
      <alignment horizontal="center"/>
    </xf>
    <xf numFmtId="0" fontId="5" fillId="0" borderId="0" xfId="0" applyFont="1"/>
    <xf numFmtId="9" fontId="7" fillId="7" borderId="0" xfId="0" applyNumberFormat="1" applyFont="1" applyFill="1"/>
    <xf numFmtId="0" fontId="1" fillId="0" borderId="0" xfId="0" applyFont="1"/>
    <xf numFmtId="9" fontId="0" fillId="7" borderId="0" xfId="1" applyFont="1" applyFill="1"/>
    <xf numFmtId="9" fontId="7" fillId="7" borderId="0" xfId="1" applyFont="1" applyFill="1"/>
    <xf numFmtId="9" fontId="0" fillId="0" borderId="0" xfId="0" applyNumberFormat="1"/>
    <xf numFmtId="0" fontId="3" fillId="0" borderId="0" xfId="0" applyFont="1"/>
    <xf numFmtId="0" fontId="10" fillId="0" borderId="0" xfId="0" applyFont="1"/>
    <xf numFmtId="0" fontId="10" fillId="2" borderId="0" xfId="0" applyFont="1" applyFill="1" applyAlignment="1">
      <alignment horizontal="left"/>
    </xf>
    <xf numFmtId="0" fontId="3" fillId="0" borderId="0" xfId="0" applyFont="1" applyAlignment="1">
      <alignment horizontal="right"/>
    </xf>
    <xf numFmtId="3" fontId="6" fillId="0" borderId="0" xfId="0" applyNumberFormat="1" applyFont="1"/>
    <xf numFmtId="0" fontId="10" fillId="2" borderId="0" xfId="0" applyFont="1" applyFill="1" applyAlignment="1">
      <alignment horizontal="center"/>
    </xf>
    <xf numFmtId="1" fontId="7" fillId="7" borderId="0" xfId="0" applyNumberFormat="1" applyFont="1" applyFill="1"/>
    <xf numFmtId="0" fontId="0" fillId="8" borderId="0" xfId="0" applyFill="1"/>
    <xf numFmtId="0" fontId="7" fillId="0" borderId="0" xfId="0" applyFont="1" applyAlignment="1">
      <alignment horizontal="center"/>
    </xf>
    <xf numFmtId="0" fontId="0" fillId="0" borderId="0" xfId="0"/>
    <xf numFmtId="0" fontId="10" fillId="2" borderId="0" xfId="0" applyFont="1" applyFill="1" applyAlignment="1">
      <alignment horizontal="center"/>
    </xf>
    <xf numFmtId="0" fontId="10" fillId="0" borderId="0" xfId="0" applyFont="1"/>
    <xf numFmtId="0" fontId="8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3" fontId="12" fillId="3" borderId="0" xfId="0" applyNumberFormat="1" applyFont="1" applyFill="1" applyAlignment="1">
      <alignment horizontal="center"/>
    </xf>
    <xf numFmtId="3" fontId="12" fillId="3" borderId="4" xfId="0" applyNumberFormat="1" applyFont="1" applyFill="1" applyBorder="1" applyAlignment="1">
      <alignment horizontal="center" vertical="center"/>
    </xf>
    <xf numFmtId="0" fontId="9" fillId="0" borderId="4" xfId="0" applyFont="1" applyBorder="1"/>
    <xf numFmtId="3" fontId="12" fillId="3" borderId="4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5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0E4F5"/>
          <bgColor rgb="FFC0E4F5"/>
        </patternFill>
      </fill>
    </dxf>
    <dxf>
      <numFmt numFmtId="10" formatCode="&quot;₹&quot;\ #,##0;[Red]&quot;₹&quot;\ \-#,##0"/>
      <fill>
        <patternFill patternType="solid">
          <fgColor rgb="FFC0E4F5"/>
          <bgColor rgb="FFC0E4F5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rgb="FFC0E4F5"/>
          <bgColor rgb="FFC0E4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rgb="FF82CAEB"/>
          <bgColor rgb="FF82CA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rgb="FF82CAEB"/>
          <bgColor rgb="FF82CAEB"/>
        </patternFill>
      </fill>
    </dxf>
    <dxf>
      <fill>
        <patternFill patternType="solid">
          <fgColor rgb="FFC0E4F5"/>
          <bgColor rgb="FFC0E4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rgb="FFC0E4F5"/>
          <bgColor rgb="FFC0E4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rgb="FF82CAEB"/>
          <bgColor rgb="FF82CAEB"/>
        </patternFill>
      </fill>
    </dxf>
    <dxf>
      <fill>
        <patternFill patternType="solid">
          <fgColor rgb="FFC0E4F5"/>
          <bgColor rgb="FFC0E4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82CAEB"/>
          <bgColor rgb="FF82CA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rgb="FF82CAEB"/>
          <bgColor rgb="FF82CAEB"/>
        </patternFill>
      </fill>
    </dxf>
    <dxf>
      <fill>
        <patternFill patternType="solid">
          <fgColor rgb="FF82CAEB"/>
          <bgColor rgb="FF82CAEB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/>
        <strike val="0"/>
        <outline val="0"/>
        <shadow val="0"/>
        <u val="none"/>
        <vertAlign val="baseline"/>
        <sz val="11"/>
        <color theme="0"/>
        <name val="Aptos Narrow"/>
      </font>
    </dxf>
    <dxf>
      <font>
        <b/>
        <strike val="0"/>
        <outline val="0"/>
        <shadow val="0"/>
        <u val="none"/>
        <vertAlign val="baseline"/>
        <sz val="11"/>
        <color theme="0"/>
        <name val="Aptos Narrow"/>
      </font>
    </dxf>
    <dxf>
      <font>
        <b/>
        <strike val="0"/>
        <outline val="0"/>
        <shadow val="0"/>
        <u val="none"/>
        <vertAlign val="baseline"/>
        <sz val="11"/>
        <color theme="0"/>
        <name val="Aptos Narrow"/>
      </font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theme="4"/>
          <bgColor theme="4"/>
        </patternFill>
      </fill>
    </dxf>
  </dxfs>
  <tableStyles count="8" defaultTableStyle="TableStyleMedium2" defaultPivotStyle="PivotStyleLight16">
    <tableStyle name="Assumptions Sheet-style" pivot="0" count="3" xr9:uid="{23EB0AE7-EE17-41DE-98D3-FEB396AF03FD}">
      <tableStyleElement type="headerRow" dxfId="56"/>
      <tableStyleElement type="firstRowStripe" dxfId="55"/>
      <tableStyleElement type="secondRowStripe" dxfId="54"/>
    </tableStyle>
    <tableStyle name="Details-style" pivot="0" count="3" xr9:uid="{0A6BA6A7-5E8D-489B-847F-10214EB12920}">
      <tableStyleElement type="headerRow" dxfId="53"/>
      <tableStyleElement type="firstRowStripe" dxfId="52"/>
      <tableStyleElement type="secondRowStripe" dxfId="51"/>
    </tableStyle>
    <tableStyle name="Details-style 2" pivot="0" count="3" xr9:uid="{C2E9E45D-0343-4928-9923-D6F3F079A949}">
      <tableStyleElement type="headerRow" dxfId="50"/>
      <tableStyleElement type="firstRowStripe" dxfId="49"/>
      <tableStyleElement type="secondRowStripe" dxfId="48"/>
    </tableStyle>
    <tableStyle name="Details-style 3" pivot="0" count="3" xr9:uid="{82D26A90-5071-42A4-A263-9583545A79AA}">
      <tableStyleElement type="headerRow" dxfId="47"/>
      <tableStyleElement type="firstRowStripe" dxfId="46"/>
      <tableStyleElement type="secondRowStripe" dxfId="45"/>
    </tableStyle>
    <tableStyle name="Full Calc-style" pivot="0" count="3" xr9:uid="{55039361-EB1A-410A-AFD1-CA7B66848EC1}">
      <tableStyleElement type="headerRow" dxfId="44"/>
      <tableStyleElement type="firstRowStripe" dxfId="43"/>
      <tableStyleElement type="secondRowStripe" dxfId="42"/>
    </tableStyle>
    <tableStyle name="Full Calc-style 2" pivot="0" count="3" xr9:uid="{5403748B-5590-4735-9062-BDD94F298A55}">
      <tableStyleElement type="headerRow" dxfId="41"/>
      <tableStyleElement type="firstRowStripe" dxfId="40"/>
      <tableStyleElement type="secondRowStripe" dxfId="39"/>
    </tableStyle>
    <tableStyle name="Full Calc-style 3" pivot="0" count="3" xr9:uid="{D4ED5A5B-9951-450F-8CE4-6FD3E0981BB6}">
      <tableStyleElement type="headerRow" dxfId="38"/>
      <tableStyleElement type="firstRowStripe" dxfId="37"/>
      <tableStyleElement type="secondRowStripe" dxfId="36"/>
    </tableStyle>
    <tableStyle name="Full Calc-style 4" pivot="0" count="3" xr9:uid="{60CD4D99-96F2-4644-9D5D-1BDE32EBE621}">
      <tableStyleElement type="headerRow" dxfId="35"/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10/relationships/person" Target="persons/perso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gar\Downloads\dyjtj.xlsm" TargetMode="External"/><Relationship Id="rId1" Type="http://schemas.openxmlformats.org/officeDocument/2006/relationships/externalLinkPath" Target="file:///C:\Users\gagar\Downloads\dyjtj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862d5ce3eedc922/Documents/Git_Hub/Python%20Programs/New%20folder/dyjtj.xlsm" TargetMode="External"/><Relationship Id="rId1" Type="http://schemas.openxmlformats.org/officeDocument/2006/relationships/externalLinkPath" Target="dyjtj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s"/>
      <sheetName val="Calc Engine"/>
      <sheetName val="Probablity Engine"/>
      <sheetName val="Optimizer Engine"/>
      <sheetName val="Simulation Results"/>
      <sheetName val="dyjtj"/>
    </sheetNames>
    <sheetDataSet>
      <sheetData sheetId="0">
        <row r="3">
          <cell r="C3">
            <v>20</v>
          </cell>
        </row>
        <row r="4">
          <cell r="C4">
            <v>55</v>
          </cell>
        </row>
        <row r="10">
          <cell r="G10">
            <v>40000</v>
          </cell>
        </row>
        <row r="11">
          <cell r="H11">
            <v>0.1</v>
          </cell>
        </row>
        <row r="14">
          <cell r="B14" t="str">
            <v>Salary</v>
          </cell>
          <cell r="C14">
            <v>720000</v>
          </cell>
          <cell r="F14" t="str">
            <v>EMI</v>
          </cell>
          <cell r="G14">
            <v>0</v>
          </cell>
          <cell r="L14">
            <v>32</v>
          </cell>
          <cell r="M14">
            <v>660000</v>
          </cell>
          <cell r="N14">
            <v>0</v>
          </cell>
        </row>
        <row r="15">
          <cell r="B15" t="str">
            <v>Rent</v>
          </cell>
          <cell r="C15">
            <v>0</v>
          </cell>
          <cell r="F15" t="str">
            <v>Entertainment</v>
          </cell>
          <cell r="G15">
            <v>18000</v>
          </cell>
          <cell r="L15">
            <v>35</v>
          </cell>
          <cell r="M15">
            <v>0</v>
          </cell>
          <cell r="N15">
            <v>340000</v>
          </cell>
          <cell r="O15">
            <v>0</v>
          </cell>
        </row>
        <row r="16">
          <cell r="B16" t="str">
            <v>Interest</v>
          </cell>
          <cell r="C16">
            <v>6000</v>
          </cell>
          <cell r="F16" t="str">
            <v>Food</v>
          </cell>
          <cell r="G16">
            <v>36000</v>
          </cell>
          <cell r="L16">
            <v>42</v>
          </cell>
          <cell r="M16">
            <v>430000</v>
          </cell>
          <cell r="N16">
            <v>0</v>
          </cell>
        </row>
        <row r="17">
          <cell r="B17" t="str">
            <v>Business Income</v>
          </cell>
          <cell r="C17">
            <v>0</v>
          </cell>
          <cell r="F17" t="str">
            <v>Recreation</v>
          </cell>
          <cell r="G17">
            <v>12000</v>
          </cell>
          <cell r="L17">
            <v>52</v>
          </cell>
          <cell r="M17">
            <v>6000000</v>
          </cell>
          <cell r="N17">
            <v>0</v>
          </cell>
          <cell r="O17">
            <v>0</v>
          </cell>
        </row>
        <row r="18">
          <cell r="B18" t="str">
            <v>Other Income</v>
          </cell>
          <cell r="C18" t="str">
            <v>-</v>
          </cell>
          <cell r="F18" t="str">
            <v>Medical expenses</v>
          </cell>
          <cell r="G18">
            <v>6000</v>
          </cell>
          <cell r="L18">
            <v>28</v>
          </cell>
          <cell r="M18">
            <v>0</v>
          </cell>
          <cell r="N18">
            <v>209000</v>
          </cell>
          <cell r="O18">
            <v>0</v>
          </cell>
          <cell r="V18">
            <v>100000</v>
          </cell>
        </row>
        <row r="19">
          <cell r="F19" t="str">
            <v>Luxury</v>
          </cell>
          <cell r="G19">
            <v>24000</v>
          </cell>
          <cell r="L19">
            <v>38</v>
          </cell>
          <cell r="M19">
            <v>0</v>
          </cell>
          <cell r="N19">
            <v>0</v>
          </cell>
          <cell r="O19">
            <v>5500000</v>
          </cell>
          <cell r="V19">
            <v>300000</v>
          </cell>
        </row>
        <row r="20">
          <cell r="F20" t="str">
            <v>Transportation</v>
          </cell>
          <cell r="G20">
            <v>18000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V20">
            <v>80000</v>
          </cell>
        </row>
        <row r="21">
          <cell r="F21" t="str">
            <v>Household Expenses</v>
          </cell>
          <cell r="G21">
            <v>84000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F22" t="str">
            <v>Insurance</v>
          </cell>
          <cell r="G22">
            <v>12000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L23">
            <v>0</v>
          </cell>
          <cell r="M23">
            <v>0</v>
          </cell>
          <cell r="N23">
            <v>0</v>
          </cell>
          <cell r="O23">
            <v>0</v>
          </cell>
        </row>
      </sheetData>
      <sheetData sheetId="1">
        <row r="5">
          <cell r="BH5">
            <v>1857873.2107809563</v>
          </cell>
        </row>
        <row r="31">
          <cell r="C31">
            <v>20</v>
          </cell>
          <cell r="AO31">
            <v>13680.000000000002</v>
          </cell>
          <cell r="AT31">
            <v>9280</v>
          </cell>
          <cell r="AY31">
            <v>24000</v>
          </cell>
        </row>
        <row r="32">
          <cell r="C32">
            <v>21</v>
          </cell>
          <cell r="AO32">
            <v>29299.200000000001</v>
          </cell>
          <cell r="AT32">
            <v>20249.600000000002</v>
          </cell>
          <cell r="AY32">
            <v>52440.000000000007</v>
          </cell>
        </row>
        <row r="33">
          <cell r="C33">
            <v>22</v>
          </cell>
          <cell r="AO33">
            <v>49953.888000000014</v>
          </cell>
          <cell r="AT33">
            <v>34718.336000000003</v>
          </cell>
          <cell r="AY33">
            <v>91968.000000000015</v>
          </cell>
        </row>
        <row r="34">
          <cell r="C34">
            <v>23</v>
          </cell>
          <cell r="AO34">
            <v>75155.512320000038</v>
          </cell>
          <cell r="AT34">
            <v>52624.94976000001</v>
          </cell>
          <cell r="AY34">
            <v>142305.60000000003</v>
          </cell>
        </row>
        <row r="35">
          <cell r="C35">
            <v>24</v>
          </cell>
          <cell r="AO35">
            <v>105706.17204480007</v>
          </cell>
          <cell r="AT35">
            <v>74631.789721600013</v>
          </cell>
          <cell r="AY35">
            <v>205905.12000000002</v>
          </cell>
        </row>
        <row r="36">
          <cell r="C36">
            <v>25</v>
          </cell>
          <cell r="AO36">
            <v>142536.81293107211</v>
          </cell>
          <cell r="AT36">
            <v>101518.408877056</v>
          </cell>
          <cell r="AY36">
            <v>285738.38400000002</v>
          </cell>
        </row>
        <row r="37">
          <cell r="C37">
            <v>26</v>
          </cell>
          <cell r="AO37">
            <v>186726.92122142224</v>
          </cell>
          <cell r="AT37">
            <v>134201.44037738498</v>
          </cell>
          <cell r="AY37">
            <v>385403.52480000007</v>
          </cell>
        </row>
        <row r="38">
          <cell r="C38">
            <v>27</v>
          </cell>
          <cell r="AO38">
            <v>239527.14012042139</v>
          </cell>
          <cell r="AT38">
            <v>173757.76552576659</v>
          </cell>
          <cell r="AY38">
            <v>509253.44016000006</v>
          </cell>
        </row>
        <row r="39">
          <cell r="C39">
            <v>28</v>
          </cell>
          <cell r="AO39">
            <v>302385.23465808044</v>
          </cell>
          <cell r="AT39">
            <v>221451.51216668924</v>
          </cell>
          <cell r="AY39">
            <v>662550.25963200012</v>
          </cell>
        </row>
        <row r="40">
          <cell r="C40">
            <v>29</v>
          </cell>
          <cell r="AO40">
            <v>376975.89192309178</v>
          </cell>
          <cell r="AT40">
            <v>36325.50868583953</v>
          </cell>
          <cell r="AY40">
            <v>851651.05614240014</v>
          </cell>
        </row>
        <row r="41">
          <cell r="C41">
            <v>30</v>
          </cell>
          <cell r="AO41">
            <v>457072.89761760691</v>
          </cell>
          <cell r="AT41">
            <v>65066.011137969101</v>
          </cell>
          <cell r="AY41">
            <v>1048090.0501995041</v>
          </cell>
        </row>
        <row r="42">
          <cell r="C42">
            <v>31</v>
          </cell>
          <cell r="AO42">
            <v>550267.53386183828</v>
          </cell>
          <cell r="AT42">
            <v>100195.67705700801</v>
          </cell>
          <cell r="AY42">
            <v>1281976.765813177</v>
          </cell>
        </row>
        <row r="43">
          <cell r="C43">
            <v>32</v>
          </cell>
          <cell r="AO43">
            <v>670238.68879603909</v>
          </cell>
          <cell r="AT43">
            <v>145351.60072210021</v>
          </cell>
          <cell r="AY43">
            <v>1613694.4000171165</v>
          </cell>
        </row>
        <row r="44">
          <cell r="C44">
            <v>33</v>
          </cell>
          <cell r="AO44">
            <v>58899.175440382227</v>
          </cell>
          <cell r="AT44">
            <v>200644.93370720424</v>
          </cell>
          <cell r="AY44">
            <v>2019287.7891659741</v>
          </cell>
        </row>
        <row r="45">
          <cell r="C45">
            <v>34</v>
          </cell>
          <cell r="AO45">
            <v>119094.83723622319</v>
          </cell>
          <cell r="AT45">
            <v>267988.90765688173</v>
          </cell>
          <cell r="AY45">
            <v>2514285.3070591469</v>
          </cell>
        </row>
        <row r="46">
          <cell r="C46">
            <v>35</v>
          </cell>
          <cell r="AO46">
            <v>192912.86940690066</v>
          </cell>
          <cell r="AT46">
            <v>349631.99589416012</v>
          </cell>
          <cell r="AY46">
            <v>3117396.3245369517</v>
          </cell>
        </row>
        <row r="47">
          <cell r="C47">
            <v>36</v>
          </cell>
          <cell r="AO47">
            <v>282779.90157723363</v>
          </cell>
          <cell r="AT47">
            <v>53814.464550620767</v>
          </cell>
          <cell r="AY47">
            <v>3851154.9411169151</v>
          </cell>
        </row>
        <row r="48">
          <cell r="C48">
            <v>37</v>
          </cell>
          <cell r="AO48">
            <v>384645.57039680687</v>
          </cell>
          <cell r="AT48">
            <v>107445.25858684334</v>
          </cell>
          <cell r="AY48">
            <v>4584603.4423074573</v>
          </cell>
        </row>
        <row r="49">
          <cell r="C49">
            <v>38</v>
          </cell>
          <cell r="AO49">
            <v>514555.61910093372</v>
          </cell>
          <cell r="AT49">
            <v>176232.53262994625</v>
          </cell>
          <cell r="AY49">
            <v>5634962.1462927628</v>
          </cell>
        </row>
        <row r="50">
          <cell r="C50">
            <v>39</v>
          </cell>
          <cell r="AO50">
            <v>670259.04150849569</v>
          </cell>
          <cell r="AT50">
            <v>261185.37378686643</v>
          </cell>
          <cell r="AY50">
            <v>308736.39262751053</v>
          </cell>
        </row>
        <row r="51">
          <cell r="C51">
            <v>40</v>
          </cell>
          <cell r="AO51">
            <v>856127.50662645954</v>
          </cell>
          <cell r="AT51">
            <v>365406.2331225067</v>
          </cell>
          <cell r="AY51">
            <v>531943.66993682727</v>
          </cell>
        </row>
        <row r="52">
          <cell r="C52">
            <v>41</v>
          </cell>
          <cell r="AO52">
            <v>1077220.7767916159</v>
          </cell>
          <cell r="AT52">
            <v>492545.54990482359</v>
          </cell>
          <cell r="AY52">
            <v>815938.40258638887</v>
          </cell>
        </row>
        <row r="53">
          <cell r="C53">
            <v>42</v>
          </cell>
          <cell r="AO53">
            <v>1339390.6467036393</v>
          </cell>
          <cell r="AT53">
            <v>646894.5893205828</v>
          </cell>
          <cell r="AY53">
            <v>1174492.6816320824</v>
          </cell>
        </row>
        <row r="54">
          <cell r="C54">
            <v>43</v>
          </cell>
          <cell r="AO54">
            <v>1159200.1945194656</v>
          </cell>
          <cell r="AT54">
            <v>833493.65018596221</v>
          </cell>
          <cell r="AY54">
            <v>1624294.4763397563</v>
          </cell>
        </row>
        <row r="55">
          <cell r="C55">
            <v>44</v>
          </cell>
          <cell r="AO55">
            <v>1456232.5647572393</v>
          </cell>
          <cell r="AT55">
            <v>1058258.153447211</v>
          </cell>
          <cell r="AY55">
            <v>2185546.9558270904</v>
          </cell>
        </row>
        <row r="56">
          <cell r="C56">
            <v>45</v>
          </cell>
          <cell r="AO56">
            <v>1808323.9011288064</v>
          </cell>
          <cell r="AT56">
            <v>1328125.5291534089</v>
          </cell>
          <cell r="AY56">
            <v>2882689.2896338301</v>
          </cell>
        </row>
        <row r="57">
          <cell r="C57">
            <v>46</v>
          </cell>
          <cell r="AO57">
            <v>2224529.902322948</v>
          </cell>
          <cell r="AT57">
            <v>1651226.292088063</v>
          </cell>
          <cell r="AY57">
            <v>3745263.3844660497</v>
          </cell>
        </row>
        <row r="58">
          <cell r="C58">
            <v>47</v>
          </cell>
          <cell r="AO58">
            <v>2715308.8091878807</v>
          </cell>
          <cell r="AT58">
            <v>2037083.2449192724</v>
          </cell>
          <cell r="AY58">
            <v>4808955.9219552586</v>
          </cell>
        </row>
        <row r="59">
          <cell r="C59">
            <v>48</v>
          </cell>
          <cell r="AO59">
            <v>3292731.2350678756</v>
          </cell>
          <cell r="AT59">
            <v>2496843.3848131876</v>
          </cell>
          <cell r="AY59">
            <v>6116850.9530019099</v>
          </cell>
        </row>
        <row r="60">
          <cell r="C60">
            <v>49</v>
          </cell>
          <cell r="AO60">
            <v>3970720.719830439</v>
          </cell>
          <cell r="AT60">
            <v>3043547.8291608123</v>
          </cell>
          <cell r="AY60">
            <v>7720935.3749234509</v>
          </cell>
        </row>
        <row r="61">
          <cell r="C61">
            <v>50</v>
          </cell>
          <cell r="AO61">
            <v>4765329.4436450675</v>
          </cell>
          <cell r="AT61">
            <v>3692445.9348818082</v>
          </cell>
          <cell r="AY61">
            <v>9683908.1043614168</v>
          </cell>
        </row>
        <row r="62">
          <cell r="C62">
            <v>51</v>
          </cell>
          <cell r="AO62">
            <v>5695054.1710975803</v>
          </cell>
          <cell r="AT62">
            <v>4461360.7828236902</v>
          </cell>
          <cell r="AY62">
            <v>12081353.945132302</v>
          </cell>
        </row>
        <row r="63">
          <cell r="C63">
            <v>52</v>
          </cell>
          <cell r="AO63">
            <v>6781198.2209276659</v>
          </cell>
          <cell r="AT63">
            <v>5371114.3562723529</v>
          </cell>
          <cell r="AY63">
            <v>15004355.376047226</v>
          </cell>
        </row>
        <row r="64">
          <cell r="C64">
            <v>53</v>
          </cell>
          <cell r="AO64">
            <v>1208286.0843216053</v>
          </cell>
          <cell r="AT64">
            <v>6446022.0862924885</v>
          </cell>
          <cell r="AY64">
            <v>18562630.157333981</v>
          </cell>
        </row>
        <row r="65">
          <cell r="C65">
            <v>54</v>
          </cell>
          <cell r="AO65">
            <v>1726938.2598371028</v>
          </cell>
          <cell r="AT65">
            <v>7714467.996417501</v>
          </cell>
          <cell r="AY65">
            <v>22888300.265485816</v>
          </cell>
        </row>
        <row r="66">
          <cell r="C66">
            <v>55</v>
          </cell>
          <cell r="AO66">
            <v>2353150.9522958174</v>
          </cell>
          <cell r="AT66">
            <v>9209573.4897943381</v>
          </cell>
          <cell r="AY66">
            <v>28140418.80293652</v>
          </cell>
        </row>
      </sheetData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s"/>
      <sheetName val="Calc Engine"/>
      <sheetName val="Probablity Engine"/>
      <sheetName val="Optimizer Engine"/>
    </sheetNames>
    <sheetDataSet>
      <sheetData sheetId="0" refreshError="1">
        <row r="20">
          <cell r="V20">
            <v>80000</v>
          </cell>
        </row>
      </sheetData>
      <sheetData sheetId="1" refreshError="1">
        <row r="3">
          <cell r="BF3" t="e">
            <v>#REF!</v>
          </cell>
        </row>
        <row r="5">
          <cell r="BH5">
            <v>-9798829.0339621492</v>
          </cell>
        </row>
        <row r="31">
          <cell r="C31">
            <v>20</v>
          </cell>
          <cell r="AO31">
            <v>4560.0000000000009</v>
          </cell>
          <cell r="AT31">
            <v>4640</v>
          </cell>
          <cell r="AY31">
            <v>38400</v>
          </cell>
        </row>
        <row r="32">
          <cell r="C32">
            <v>21</v>
          </cell>
          <cell r="AO32">
            <v>9766.4000000000015</v>
          </cell>
          <cell r="AT32">
            <v>10124.800000000001</v>
          </cell>
          <cell r="AY32">
            <v>83904.000000000015</v>
          </cell>
        </row>
        <row r="33">
          <cell r="C33">
            <v>22</v>
          </cell>
          <cell r="AO33">
            <v>16651.296000000002</v>
          </cell>
          <cell r="AT33">
            <v>17359.168000000001</v>
          </cell>
          <cell r="AY33">
            <v>147148.80000000002</v>
          </cell>
        </row>
        <row r="34">
          <cell r="C34">
            <v>23</v>
          </cell>
          <cell r="AO34">
            <v>25051.837440000007</v>
          </cell>
          <cell r="AT34">
            <v>26312.474880000005</v>
          </cell>
          <cell r="AY34">
            <v>227688.96000000005</v>
          </cell>
        </row>
        <row r="35">
          <cell r="C35">
            <v>24</v>
          </cell>
          <cell r="AO35">
            <v>35235.390681600016</v>
          </cell>
          <cell r="AT35">
            <v>37315.894860800006</v>
          </cell>
          <cell r="AY35">
            <v>329448.1920000001</v>
          </cell>
        </row>
        <row r="36">
          <cell r="C36">
            <v>25</v>
          </cell>
          <cell r="AO36">
            <v>47512.270977024025</v>
          </cell>
          <cell r="AT36">
            <v>50759.204438528002</v>
          </cell>
          <cell r="AY36">
            <v>457181.41440000013</v>
          </cell>
        </row>
        <row r="37">
          <cell r="C37">
            <v>26</v>
          </cell>
          <cell r="AO37">
            <v>62242.307073807402</v>
          </cell>
          <cell r="AT37">
            <v>67100.720188692489</v>
          </cell>
          <cell r="AY37">
            <v>616645.63968000014</v>
          </cell>
        </row>
        <row r="38">
          <cell r="C38">
            <v>27</v>
          </cell>
          <cell r="AO38">
            <v>79842.380040140459</v>
          </cell>
          <cell r="AT38">
            <v>86878.882762883295</v>
          </cell>
          <cell r="AY38">
            <v>814805.50425600016</v>
          </cell>
        </row>
        <row r="39">
          <cell r="C39">
            <v>28</v>
          </cell>
          <cell r="AO39">
            <v>100795.07821936013</v>
          </cell>
          <cell r="AT39">
            <v>110725.75608334462</v>
          </cell>
          <cell r="AY39">
            <v>1060080.4154112001</v>
          </cell>
        </row>
        <row r="40">
          <cell r="C40">
            <v>29</v>
          </cell>
          <cell r="AO40">
            <v>125658.63064103057</v>
          </cell>
          <cell r="AT40">
            <v>-103057.24565708023</v>
          </cell>
          <cell r="AY40">
            <v>1362641.6898278401</v>
          </cell>
        </row>
        <row r="41">
          <cell r="C41">
            <v>30</v>
          </cell>
          <cell r="AO41">
            <v>152357.63253920228</v>
          </cell>
          <cell r="AT41">
            <v>-105657.79443101547</v>
          </cell>
          <cell r="AY41">
            <v>1676944.0803192065</v>
          </cell>
        </row>
        <row r="42">
          <cell r="C42">
            <v>31</v>
          </cell>
          <cell r="AO42">
            <v>183422.5112872794</v>
          </cell>
          <cell r="AT42">
            <v>-107439.67347149603</v>
          </cell>
          <cell r="AY42">
            <v>2051162.8253010828</v>
          </cell>
        </row>
        <row r="43">
          <cell r="C43">
            <v>32</v>
          </cell>
          <cell r="AO43">
            <v>223412.89626534632</v>
          </cell>
          <cell r="AT43">
            <v>-110067.71355894994</v>
          </cell>
          <cell r="AY43">
            <v>2581911.0400273856</v>
          </cell>
        </row>
        <row r="44">
          <cell r="C44">
            <v>33</v>
          </cell>
          <cell r="AO44">
            <v>-481966.94151987269</v>
          </cell>
          <cell r="AT44">
            <v>-111660.0092935979</v>
          </cell>
          <cell r="AY44">
            <v>3230860.4626655574</v>
          </cell>
        </row>
        <row r="45">
          <cell r="C45">
            <v>34</v>
          </cell>
          <cell r="AO45">
            <v>-532125.72092125914</v>
          </cell>
          <cell r="AT45">
            <v>-111905.21850231117</v>
          </cell>
          <cell r="AY45">
            <v>4022856.4912946331</v>
          </cell>
        </row>
        <row r="46">
          <cell r="C46">
            <v>35</v>
          </cell>
          <cell r="AO46">
            <v>-587575.07019770006</v>
          </cell>
          <cell r="AT46">
            <v>-110427.62195659231</v>
          </cell>
          <cell r="AY46">
            <v>4987834.1192591209</v>
          </cell>
        </row>
        <row r="47">
          <cell r="C47">
            <v>36</v>
          </cell>
          <cell r="AO47">
            <v>-648882.50320758915</v>
          </cell>
          <cell r="AT47">
            <v>-501175.36681294948</v>
          </cell>
          <cell r="AY47">
            <v>6161847.9057870628</v>
          </cell>
        </row>
        <row r="48">
          <cell r="C48">
            <v>37</v>
          </cell>
          <cell r="AO48">
            <v>-704104.37671573157</v>
          </cell>
          <cell r="AT48">
            <v>-548291.53366719466</v>
          </cell>
          <cell r="AY48">
            <v>7335365.50769193</v>
          </cell>
        </row>
        <row r="49">
          <cell r="C49">
            <v>38</v>
          </cell>
          <cell r="AO49">
            <v>-777325.76650640939</v>
          </cell>
          <cell r="AT49">
            <v>-610220.16271934169</v>
          </cell>
          <cell r="AY49">
            <v>9015939.4340684172</v>
          </cell>
        </row>
        <row r="50">
          <cell r="C50">
            <v>39</v>
          </cell>
          <cell r="AO50">
            <v>-858262.8285728296</v>
          </cell>
          <cell r="AT50">
            <v>-679477.57078637183</v>
          </cell>
          <cell r="AY50">
            <v>4453978.2282040128</v>
          </cell>
        </row>
        <row r="51">
          <cell r="C51">
            <v>40</v>
          </cell>
          <cell r="AO51">
            <v>-947742.22480410105</v>
          </cell>
          <cell r="AT51">
            <v>-756978.38234732044</v>
          </cell>
          <cell r="AY51">
            <v>5603109.8718989184</v>
          </cell>
        </row>
        <row r="52">
          <cell r="C52">
            <v>41</v>
          </cell>
          <cell r="AO52">
            <v>-1046680.9965308581</v>
          </cell>
          <cell r="AT52">
            <v>-843757.76378153381</v>
          </cell>
          <cell r="AY52">
            <v>7007901.4441382149</v>
          </cell>
        </row>
        <row r="53">
          <cell r="C53">
            <v>42</v>
          </cell>
          <cell r="AO53">
            <v>-1156096.6823247795</v>
          </cell>
          <cell r="AT53">
            <v>-940988.13027108542</v>
          </cell>
          <cell r="AY53">
            <v>8722068.290611323</v>
          </cell>
        </row>
        <row r="54">
          <cell r="C54">
            <v>43</v>
          </cell>
          <cell r="AO54">
            <v>-1767318.59875781</v>
          </cell>
          <cell r="AT54">
            <v>-1049998.2678274158</v>
          </cell>
          <cell r="AY54">
            <v>10810327.162143599</v>
          </cell>
        </row>
        <row r="55">
          <cell r="C55">
            <v>44</v>
          </cell>
          <cell r="AO55">
            <v>-1969828.4215822208</v>
          </cell>
          <cell r="AT55">
            <v>-1172295.2310640549</v>
          </cell>
          <cell r="AY55">
            <v>13350622.329323331</v>
          </cell>
        </row>
        <row r="56">
          <cell r="C56">
            <v>45</v>
          </cell>
          <cell r="AO56">
            <v>-2196198.1415018807</v>
          </cell>
          <cell r="AT56">
            <v>-1309589.4324569814</v>
          </cell>
          <cell r="AY56">
            <v>16436799.503414111</v>
          </cell>
        </row>
        <row r="57">
          <cell r="C57">
            <v>46</v>
          </cell>
          <cell r="AO57">
            <v>-2449318.9963001083</v>
          </cell>
          <cell r="AT57">
            <v>-1463823.402515044</v>
          </cell>
          <cell r="AY57">
            <v>20181817.383145656</v>
          </cell>
        </row>
        <row r="58">
          <cell r="C58">
            <v>47</v>
          </cell>
          <cell r="AO58">
            <v>-2732442.0822688835</v>
          </cell>
          <cell r="AT58">
            <v>-1637204.7738688912</v>
          </cell>
          <cell r="AY58">
            <v>24721604.636728387</v>
          </cell>
        </row>
        <row r="59">
          <cell r="C59">
            <v>48</v>
          </cell>
          <cell r="AO59">
            <v>-3049224.2429219638</v>
          </cell>
          <cell r="AT59">
            <v>-1832244.1273344979</v>
          </cell>
          <cell r="AY59">
            <v>30219691.718723021</v>
          </cell>
        </row>
        <row r="60">
          <cell r="C60">
            <v>49</v>
          </cell>
          <cell r="AO60">
            <v>-3403779.9329800191</v>
          </cell>
          <cell r="AT60">
            <v>-2051798.4363192599</v>
          </cell>
          <cell r="AY60">
            <v>36872772.832581475</v>
          </cell>
        </row>
        <row r="61">
          <cell r="C61">
            <v>50</v>
          </cell>
          <cell r="AO61">
            <v>-3800739.8492510999</v>
          </cell>
          <cell r="AT61">
            <v>-2299120.959602708</v>
          </cell>
          <cell r="AY61">
            <v>44917384.446223013</v>
          </cell>
        </row>
        <row r="62">
          <cell r="C62">
            <v>51</v>
          </cell>
          <cell r="AO62">
            <v>-4245317.2263655197</v>
          </cell>
          <cell r="AT62">
            <v>-2577918.5639587445</v>
          </cell>
          <cell r="AY62">
            <v>54637924.087305374</v>
          </cell>
        </row>
        <row r="63">
          <cell r="C63">
            <v>52</v>
          </cell>
          <cell r="AO63">
            <v>-4743382.8160978844</v>
          </cell>
          <cell r="AT63">
            <v>-2892417.6100937072</v>
          </cell>
          <cell r="AY63">
            <v>66376277.93178799</v>
          </cell>
        </row>
        <row r="64">
          <cell r="C64">
            <v>53</v>
          </cell>
          <cell r="AO64">
            <v>-12141549.706196902</v>
          </cell>
          <cell r="AT64">
            <v>-3247439.7112004203</v>
          </cell>
          <cell r="AY64">
            <v>80543379.447869286</v>
          </cell>
        </row>
        <row r="65">
          <cell r="C65">
            <v>54</v>
          </cell>
          <cell r="AO65">
            <v>-13724869.290494312</v>
          </cell>
          <cell r="AT65">
            <v>-3648488.8768333797</v>
          </cell>
          <cell r="AY65">
            <v>97633085.860139206</v>
          </cell>
        </row>
        <row r="66">
          <cell r="C66">
            <v>55</v>
          </cell>
          <cell r="AO66">
            <v>-15518203.879136343</v>
          </cell>
          <cell r="AT66">
            <v>-4101851.7901517018</v>
          </cell>
          <cell r="AY66">
            <v>118238836.60713272</v>
          </cell>
        </row>
      </sheetData>
      <sheetData sheetId="2" refreshError="1"/>
      <sheetData sheetId="3" refreshError="1">
        <row r="5">
          <cell r="N5">
            <v>0.1</v>
          </cell>
          <cell r="O5">
            <v>0.1</v>
          </cell>
        </row>
        <row r="6">
          <cell r="N6">
            <v>0.2</v>
          </cell>
          <cell r="O6">
            <v>0.2</v>
          </cell>
        </row>
        <row r="7">
          <cell r="N7">
            <v>0.3</v>
          </cell>
          <cell r="O7">
            <v>0.30000000000000004</v>
          </cell>
        </row>
        <row r="8">
          <cell r="N8">
            <v>0.4</v>
          </cell>
          <cell r="O8">
            <v>0.4</v>
          </cell>
        </row>
        <row r="9">
          <cell r="N9">
            <v>0.5</v>
          </cell>
          <cell r="O9">
            <v>0.5</v>
          </cell>
        </row>
        <row r="10">
          <cell r="N10">
            <v>0.6</v>
          </cell>
          <cell r="O10">
            <v>0.6</v>
          </cell>
        </row>
        <row r="11">
          <cell r="N11">
            <v>0.7</v>
          </cell>
          <cell r="O11">
            <v>0.7</v>
          </cell>
        </row>
        <row r="12">
          <cell r="N12">
            <v>0.8</v>
          </cell>
          <cell r="O12">
            <v>0.79999999999999993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24C1CEE-DA52-46AA-A965-E5DA11E01CBA}" name="Table_2" displayName="Table_2" ref="B13:D18" headerRowDxfId="32">
  <tableColumns count="3">
    <tableColumn id="1" xr3:uid="{36505E01-17E8-48F1-8DE2-F84E7A24597D}" name="Category"/>
    <tableColumn id="2" xr3:uid="{060C08DD-EA09-43C9-84FB-6D453692A651}" name="in Rs"/>
    <tableColumn id="3" xr3:uid="{77A13795-1BD8-469E-8D79-50717EA13BA8}" name="in %">
      <calculatedColumnFormula>IFERROR($C14/$C$8,"-")</calculatedColumnFormula>
    </tableColumn>
  </tableColumns>
  <tableStyleInfo name="Detail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6972392-609A-465B-B53C-CD4ABC46BB2C}" name="Table_3" displayName="Table_3" ref="F13:H22" headerRowDxfId="31">
  <tableColumns count="3">
    <tableColumn id="1" xr3:uid="{5487A807-9B18-47AC-8B3A-60A6DF6B5F4F}" name="Category"/>
    <tableColumn id="2" xr3:uid="{3B8C953B-3A57-452D-AC72-82CB6F9B0075}" name="in Rs"/>
    <tableColumn id="3" xr3:uid="{DAD1C7E5-B8DA-45C4-96F5-2EC7E9E8D741}" name="in %">
      <calculatedColumnFormula>IFERROR($G14/$C$8,"-")</calculatedColumnFormula>
    </tableColumn>
  </tableColumns>
  <tableStyleInfo name="Detail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A7BE023-2A73-4932-8EA9-EADB7C34D554}" name="Goal_Input" displayName="Goal_Input" ref="J13:O23" headerRowDxfId="30">
  <tableColumns count="6">
    <tableColumn id="1" xr3:uid="{4EDEC9C1-A0C0-4A6B-B97B-0FFE2557520D}" name="Goal"/>
    <tableColumn id="6" xr3:uid="{2EF89B89-930F-493C-A6C1-7AA48AAE0995}" name="Goal Importance" dataDxfId="29"/>
    <tableColumn id="2" xr3:uid="{0D06B545-A31B-4339-8CBE-A474BDEC363A}" name="At  Age "/>
    <tableColumn id="3" xr3:uid="{16EB2390-E953-4079-93DE-FA3730CA67D8}" name="Large Cap"/>
    <tableColumn id="4" xr3:uid="{4DDC5F39-FFA7-4964-8C69-853A380CF3E5}" name="Mid Cap"/>
    <tableColumn id="5" xr3:uid="{C83DDD42-38D0-4BDE-B8CE-88E656E6E70A}" name="Small Cap"/>
  </tableColumns>
  <tableStyleInfo name="Detail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0B6C86-D08B-4408-9B4B-9271A09388D1}" name="Table_1" displayName="Table_1" ref="E6:F9">
  <tableColumns count="2">
    <tableColumn id="1" xr3:uid="{00000000-0010-0000-0000-000001000000}" name="Case"/>
    <tableColumn id="2" xr3:uid="{00000000-0010-0000-0000-000002000000}" name="Probability">
      <calculatedColumnFormula>Details!AC17</calculatedColumnFormula>
    </tableColumn>
  </tableColumns>
  <tableStyleInfo name="Assumptions Sheet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B02FAB-E616-47B9-98CC-554C91EC5F9E}" name="Table_5" displayName="Table_5" ref="C30:C89">
  <tableColumns count="1">
    <tableColumn id="1" xr3:uid="{39D8C723-8894-4C99-9426-40C16DDFB4B4}" name="Age"/>
  </tableColumns>
  <tableStyleInfo name="Full Calc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0E25D3-38F5-4ADB-A7BA-89243050098E}" name="Table_6" displayName="Table_6" ref="AN30:AQ66">
  <tableColumns count="4">
    <tableColumn id="1" xr3:uid="{FAEDC2EA-45CF-4B33-9229-1426C7CBB579}" name="Addition"/>
    <tableColumn id="2" xr3:uid="{6170E7D6-FB28-488A-B0EF-FEEC992DC46B}" name="End Of Year Value"/>
    <tableColumn id="3" xr3:uid="{235D4DDC-C68E-4833-8E94-E64F35740333}" name="Withdrawal">
      <calculatedColumnFormula>_xlfn.XLOOKUP(AJ31,[1]Details!$L$14:$L$23,[1]Details!$M$14:$M$23,0,0,1)</calculatedColumnFormula>
    </tableColumn>
    <tableColumn id="4" xr3:uid="{CC97124F-6D1C-4523-B670-8873ADA3E206}" name="Corpus">
      <calculatedColumnFormula>AO31-AP31</calculatedColumnFormula>
    </tableColumn>
  </tableColumns>
  <tableStyleInfo name="Full Calc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0A3E0E-F6A5-4BA5-9618-4F561F3676D4}" name="Table_7" displayName="Table_7" ref="AS30:AV67">
  <tableColumns count="4">
    <tableColumn id="1" xr3:uid="{3BA7E86E-FC9E-4926-8FB3-1E126123445B}" name="Addition"/>
    <tableColumn id="2" xr3:uid="{9EF3D78C-586F-473D-92E7-4D785EC3788E}" name="End Of Year Value"/>
    <tableColumn id="3" xr3:uid="{DDE2A1D3-CC20-4AD7-BE14-256493BC5872}" name="Withdrwal"/>
    <tableColumn id="4" xr3:uid="{C29D46E1-BD08-4410-BAC6-064EB86DC418}" name="Corpus"/>
  </tableColumns>
  <tableStyleInfo name="Full Calc-style 3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8CF31C-53B4-4053-BCA6-5A66B45A4C7F}" name="Table_8" displayName="Table_8" ref="AX30:BA66">
  <tableColumns count="4">
    <tableColumn id="1" xr3:uid="{A530666B-8DED-47B1-BC3A-D179D2733F53}" name="Addition">
      <calculatedColumnFormula>AK31*$AM$23</calculatedColumnFormula>
    </tableColumn>
    <tableColumn id="2" xr3:uid="{F8D54DFF-FFB7-4E8A-8894-CDD325D37F2B}" name="End Of Year Value"/>
    <tableColumn id="3" xr3:uid="{C997BCD2-EF17-4A9B-BD88-362ED686F956}" name="Withdrwal">
      <calculatedColumnFormula>_xlfn.XLOOKUP(AJ31,[1]Details!$L$14:$L$23,[1]Details!$O$14:$O$23,0,0,1)</calculatedColumnFormula>
    </tableColumn>
    <tableColumn id="4" xr3:uid="{E90D8A5F-65A1-400F-A5AE-2B0A7155D491}" name="Corpus">
      <calculatedColumnFormula>AY31-AZ31</calculatedColumnFormula>
    </tableColumn>
  </tableColumns>
  <tableStyleInfo name="Full Calc-style 4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819367-831B-4577-9A4F-0DC1473EBE9D}" name="Large_Cap_Goal" displayName="Large_Cap_Goal" ref="AP7:AT17" totalsRowShown="0" headerRowDxfId="28" dataDxfId="27">
  <autoFilter ref="AP7:AT17" xr:uid="{7E0CDFE7-9608-4D59-BFDC-4F7587BEFF54}"/>
  <tableColumns count="5">
    <tableColumn id="1" xr3:uid="{703268C8-47F6-4F04-A9F5-5B85C5886CE3}" name="Large Cap" dataDxfId="26">
      <calculatedColumnFormula>[1]Details!M14</calculatedColumnFormula>
    </tableColumn>
    <tableColumn id="2" xr3:uid="{DDA0DCB4-820D-4C6E-8B36-4E5315546087}" name="Goal Met ?" dataDxfId="25">
      <calculatedColumnFormula>IFERROR(IF(ISBLANK('Calc Engine'!$AL8),"No Goal",('Calc Engine'!$AP8*(1-$BF$2))&lt;=_xlfn.XLOOKUP('Calc Engine'!$AN8,Age,End_Of_Year_Value_Large_Cap)),"-")</calculatedColumnFormula>
    </tableColumn>
    <tableColumn id="3" xr3:uid="{3A829AAB-33D5-41DC-A306-9568B9FE1CB2}" name="Value At Age" dataDxfId="24">
      <calculatedColumnFormula>IF('Calc Engine'!$AP8&gt; 0,_xlfn.XLOOKUP(AN8,Age,End_Of_Year_Value_Large_Cap),0)</calculatedColumnFormula>
    </tableColumn>
    <tableColumn id="4" xr3:uid="{5AE0B898-F68C-4CA7-8BD2-93AB5C18433C}" name="Surplus" dataDxfId="23">
      <calculatedColumnFormula>'Calc Engine'!$AR8-'Calc Engine'!$AP8</calculatedColumnFormula>
    </tableColumn>
    <tableColumn id="5" xr3:uid="{FD02A1A1-8611-4A08-8ECA-5B8818D150D8}" name="Wt_Adjusted_Surplus" dataDxfId="22">
      <calculatedColumnFormula>PRODUCT('Calc Engine'!$AS8,'Calc Engine'!$AM8)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531813-3377-4FCB-B766-3B576C90AA91}" name="Mid_Cap_Goal" displayName="Mid_Cap_Goal" ref="AV7:AZ17" totalsRowShown="0" headerRowDxfId="21" dataDxfId="20">
  <autoFilter ref="AV7:AZ17" xr:uid="{FD0B4A77-5363-482D-B8F6-2FD3D0865BDF}"/>
  <tableColumns count="5">
    <tableColumn id="1" xr3:uid="{10CE1586-14EA-4B21-8D1E-1BDA9196C2F6}" name="Mid Cap" dataDxfId="19">
      <calculatedColumnFormula>[1]Details!N14</calculatedColumnFormula>
    </tableColumn>
    <tableColumn id="2" xr3:uid="{72116340-61FB-49E3-AF0B-9E6DAAA23E18}" name="Goal Met ?" dataDxfId="18">
      <calculatedColumnFormula>IFERROR(IF(ISBLANK('Calc Engine'!$AL8),"No Goal",('Calc Engine'!$AV8*(1-$BF$2))&lt;=_xlfn.XLOOKUP('Calc Engine'!$AN8,Age,End_Of_Year_Value_Mid_Cap)),"-")</calculatedColumnFormula>
    </tableColumn>
    <tableColumn id="3" xr3:uid="{FB3CC21E-8686-419E-BD98-CC506BC816CA}" name="Value At Age" dataDxfId="17">
      <calculatedColumnFormula>IF(Mid_Cap_Goal[[#This Row],[Mid Cap]]&gt;0,_xlfn.XLOOKUP(AN8,Age,End_Of_Year_Value_Mid_Cap),0)</calculatedColumnFormula>
    </tableColumn>
    <tableColumn id="4" xr3:uid="{9D801A38-7F2C-4C94-A18C-87A49D9AB05A}" name="Surplus" dataDxfId="16">
      <calculatedColumnFormula>'Calc Engine'!$AX8-'Calc Engine'!$AV8</calculatedColumnFormula>
    </tableColumn>
    <tableColumn id="5" xr3:uid="{EA66EB55-AF24-4BCC-817D-40F141F680FA}" name="Wt_Adjusted_Surplus" dataDxfId="15">
      <calculatedColumnFormula>PRODUCT('Calc Engine'!$AY8,'Calc Engine'!$AM8)</calculatedColumnFormula>
    </tableColumn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EE9E54-22E0-4567-938A-7069F51374A7}" name="Small_Cap_Goal" displayName="Small_Cap_Goal" ref="BB7:BF17" totalsRowShown="0" headerRowDxfId="14" dataDxfId="13">
  <autoFilter ref="BB7:BF17" xr:uid="{5C8B18D0-AA4D-431D-A2FD-E968EEF509B6}"/>
  <tableColumns count="5">
    <tableColumn id="1" xr3:uid="{09B91C89-45AB-48AE-8968-97382CB688FA}" name="Small Cap" dataDxfId="12">
      <calculatedColumnFormula>[1]Details!O14</calculatedColumnFormula>
    </tableColumn>
    <tableColumn id="2" xr3:uid="{9F1CE46D-EA57-4D5E-8B5B-B53070013EC4}" name="Goal Met ?" dataDxfId="11">
      <calculatedColumnFormula>IFERROR(IF(ISBLANK('Calc Engine'!$AL8),"No Goal",('Calc Engine'!$BB8 * (1 -$BF$2))&lt;=_xlfn.XLOOKUP('Calc Engine'!$AN8,Age,End_Of_Year_Value_Small_Cap)),"-")</calculatedColumnFormula>
    </tableColumn>
    <tableColumn id="3" xr3:uid="{33634452-5CDB-40E7-AD91-6C2E6405714D}" name="Value At Age" dataDxfId="10">
      <calculatedColumnFormula>IF(Small_Cap_Goal[[#This Row],[Small Cap]],_xlfn.XLOOKUP(AN8,Age,End_Of_Year_Value_Small_Cap),0)</calculatedColumnFormula>
    </tableColumn>
    <tableColumn id="4" xr3:uid="{842E962E-56E7-447A-99C8-13AF8671B7D2}" name="Surplus " dataDxfId="9">
      <calculatedColumnFormula>'Calc Engine'!$BD8-'Calc Engine'!$BB8</calculatedColumnFormula>
    </tableColumn>
    <tableColumn id="5" xr3:uid="{57EE3F2A-DA2D-4811-A92C-B362CCA5B800}" name="Wt_Adjusted_Surplus" dataDxfId="8">
      <calculatedColumnFormula>PRODUCT('Calc Engine'!$BE8,'Calc Engine'!$AM8)</calculatedColumn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1961C9C-395D-48C3-A9E8-E1CAA8B2A1E2}" name="Sum_Of_Wt_Adj_Surplus" displayName="Sum_Of_Wt_Adj_Surplus" ref="BH7:BJ17" totalsRowShown="0" headerRowDxfId="7" dataDxfId="6">
  <autoFilter ref="BH7:BJ17" xr:uid="{7AD3785D-3FDE-469F-A010-F9A4B0FB2CCB}"/>
  <tableColumns count="3">
    <tableColumn id="3" xr3:uid="{C141B7D1-E973-40D6-887E-D131A7087D49}" name="Column1" dataDxfId="5">
      <calculatedColumnFormula>AL8</calculatedColumnFormula>
    </tableColumn>
    <tableColumn id="1" xr3:uid="{F3D35353-DD7B-4893-8EC1-9C4415F8C6E9}" name="Total" dataDxfId="4">
      <calculatedColumnFormula>SUM(Small_Cap_Goal[[#This Row],[Wt_Adjusted_Surplus]],Mid_Cap_Goal[[#This Row],[Wt_Adjusted_Surplus]],Large_Cap_Goal[[#This Row],[Wt_Adjusted_Surplus]])</calculatedColumnFormula>
    </tableColumn>
    <tableColumn id="2" xr3:uid="{D0930200-869A-4D77-803E-87738B1146E1}" name="Goal Met ?" dataDxfId="3">
      <calculatedColumnFormula>Sum_Of_Wt_Adj_Surplus[[#This Row],[Total]]&gt;0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69C0-530E-4671-9408-4CB76381D2BE}">
  <sheetPr codeName="Sheet2"/>
  <dimension ref="B1:AI1000"/>
  <sheetViews>
    <sheetView topLeftCell="T5" zoomScale="80" zoomScaleNormal="130" workbookViewId="0">
      <selection activeCell="AE25" sqref="AE25"/>
    </sheetView>
  </sheetViews>
  <sheetFormatPr defaultColWidth="12.6640625" defaultRowHeight="15" customHeight="1" x14ac:dyDescent="0.3"/>
  <cols>
    <col min="1" max="1" width="8.6640625" customWidth="1"/>
    <col min="2" max="2" width="15.44140625" customWidth="1"/>
    <col min="3" max="3" width="9.109375" customWidth="1"/>
    <col min="4" max="5" width="8.6640625" customWidth="1"/>
    <col min="6" max="6" width="39.5546875" customWidth="1"/>
    <col min="7" max="7" width="9.21875" customWidth="1"/>
    <col min="8" max="8" width="15.21875" customWidth="1"/>
    <col min="9" max="9" width="8.6640625" customWidth="1"/>
    <col min="10" max="10" width="16" customWidth="1"/>
    <col min="11" max="11" width="15" bestFit="1" customWidth="1"/>
    <col min="12" max="12" width="11.6640625" customWidth="1"/>
    <col min="13" max="13" width="13.44140625" customWidth="1"/>
    <col min="14" max="14" width="11.77734375" customWidth="1"/>
    <col min="15" max="15" width="10.6640625" bestFit="1" customWidth="1"/>
    <col min="16" max="17" width="11.33203125" customWidth="1"/>
    <col min="18" max="18" width="25.21875" customWidth="1"/>
    <col min="19" max="19" width="26" customWidth="1"/>
    <col min="20" max="20" width="11" customWidth="1"/>
    <col min="21" max="21" width="9.88671875" customWidth="1"/>
    <col min="22" max="27" width="10.77734375" customWidth="1"/>
    <col min="28" max="28" width="22.6640625" bestFit="1" customWidth="1"/>
    <col min="29" max="31" width="8.6640625" customWidth="1"/>
    <col min="32" max="32" width="15.88671875" customWidth="1"/>
    <col min="33" max="35" width="8.6640625" customWidth="1"/>
  </cols>
  <sheetData>
    <row r="1" spans="2:35" ht="14.25" customHeight="1" x14ac:dyDescent="0.3"/>
    <row r="2" spans="2:35" ht="14.25" customHeight="1" x14ac:dyDescent="0.3">
      <c r="B2" s="2" t="s">
        <v>78</v>
      </c>
      <c r="C2" s="2" t="s">
        <v>79</v>
      </c>
      <c r="J2" s="69"/>
      <c r="K2" s="70"/>
      <c r="L2" s="70"/>
      <c r="M2" s="70"/>
      <c r="N2" s="70"/>
    </row>
    <row r="3" spans="2:35" ht="14.25" customHeight="1" x14ac:dyDescent="0.3">
      <c r="B3" s="3" t="s">
        <v>80</v>
      </c>
      <c r="C3" s="2">
        <v>20</v>
      </c>
    </row>
    <row r="4" spans="2:35" ht="14.25" customHeight="1" x14ac:dyDescent="0.3">
      <c r="B4" s="3" t="s">
        <v>81</v>
      </c>
      <c r="C4" s="2">
        <v>55</v>
      </c>
      <c r="L4" s="2"/>
    </row>
    <row r="5" spans="2:35" ht="14.25" customHeight="1" x14ac:dyDescent="0.3"/>
    <row r="6" spans="2:35" ht="14.25" customHeight="1" x14ac:dyDescent="0.3">
      <c r="S6" s="73" t="s">
        <v>82</v>
      </c>
      <c r="T6" s="73"/>
      <c r="U6" s="73"/>
      <c r="V6" s="73"/>
      <c r="W6" s="73"/>
      <c r="X6" s="73"/>
      <c r="Y6" s="73"/>
      <c r="Z6" s="73"/>
    </row>
    <row r="7" spans="2:35" ht="14.25" customHeight="1" x14ac:dyDescent="0.3">
      <c r="B7" s="74" t="s">
        <v>83</v>
      </c>
      <c r="C7" s="75"/>
      <c r="D7" s="75"/>
      <c r="F7" s="74" t="s">
        <v>84</v>
      </c>
      <c r="G7" s="75"/>
      <c r="H7" s="75"/>
      <c r="J7" s="73" t="s">
        <v>3</v>
      </c>
      <c r="K7" s="75"/>
      <c r="L7" s="75"/>
      <c r="M7" s="75"/>
      <c r="N7" s="75"/>
      <c r="U7">
        <v>1</v>
      </c>
      <c r="V7">
        <v>2</v>
      </c>
      <c r="W7">
        <v>3</v>
      </c>
      <c r="X7">
        <v>4</v>
      </c>
      <c r="Y7">
        <v>5</v>
      </c>
      <c r="Z7">
        <v>6</v>
      </c>
      <c r="AB7" s="73" t="s">
        <v>85</v>
      </c>
      <c r="AC7" s="73"/>
      <c r="AD7" s="73"/>
      <c r="AE7" s="73"/>
      <c r="AG7" s="3"/>
    </row>
    <row r="8" spans="2:35" ht="14.25" customHeight="1" x14ac:dyDescent="0.3">
      <c r="B8" s="3" t="s">
        <v>86</v>
      </c>
      <c r="C8" s="2">
        <f>SUM(Details!$C$14:$C$18)</f>
        <v>726000</v>
      </c>
      <c r="D8" s="52">
        <f>SUM(Details!$D$14:$D$18)</f>
        <v>1</v>
      </c>
      <c r="F8" s="3" t="s">
        <v>86</v>
      </c>
      <c r="G8" s="2">
        <f>SUM(Details!$G$14:$G$22)</f>
        <v>210000</v>
      </c>
      <c r="H8" s="52">
        <f>IFERROR($G8/$C$8,"-")</f>
        <v>0.28925619834710742</v>
      </c>
      <c r="J8" s="3"/>
      <c r="U8" s="3" t="s">
        <v>87</v>
      </c>
      <c r="V8" s="3" t="s">
        <v>87</v>
      </c>
      <c r="W8" s="3" t="s">
        <v>87</v>
      </c>
      <c r="X8" s="3" t="s">
        <v>87</v>
      </c>
      <c r="Y8" s="3" t="s">
        <v>87</v>
      </c>
      <c r="Z8" s="3" t="s">
        <v>87</v>
      </c>
      <c r="AC8" t="s">
        <v>88</v>
      </c>
      <c r="AD8" s="3" t="s">
        <v>89</v>
      </c>
      <c r="AE8" t="s">
        <v>90</v>
      </c>
    </row>
    <row r="9" spans="2:35" ht="14.25" customHeight="1" x14ac:dyDescent="0.3">
      <c r="B9" s="3"/>
      <c r="D9" s="52"/>
      <c r="F9" s="3" t="s">
        <v>27</v>
      </c>
      <c r="G9" s="2">
        <f>(C8-G8)</f>
        <v>516000</v>
      </c>
      <c r="H9" s="52">
        <f>1-H8</f>
        <v>0.71074380165289264</v>
      </c>
      <c r="J9" s="3"/>
      <c r="K9" t="s">
        <v>91</v>
      </c>
      <c r="S9" s="3" t="s">
        <v>10</v>
      </c>
      <c r="U9" s="56">
        <v>0.2</v>
      </c>
      <c r="V9" s="56">
        <v>0</v>
      </c>
      <c r="W9" s="56">
        <v>0.2</v>
      </c>
      <c r="X9" s="56">
        <v>0.9</v>
      </c>
      <c r="Y9" s="56">
        <v>0.1</v>
      </c>
      <c r="Z9" s="56">
        <v>0.8</v>
      </c>
      <c r="AB9" s="57" t="s">
        <v>73</v>
      </c>
      <c r="AC9" s="58">
        <v>0.8</v>
      </c>
      <c r="AD9" s="59">
        <v>0.2</v>
      </c>
      <c r="AE9" s="58">
        <v>0</v>
      </c>
    </row>
    <row r="10" spans="2:35" ht="14.25" customHeight="1" x14ac:dyDescent="0.3">
      <c r="B10" s="3"/>
      <c r="D10" s="52"/>
      <c r="F10" s="57" t="s">
        <v>92</v>
      </c>
      <c r="G10" s="2">
        <v>40000</v>
      </c>
      <c r="H10" s="2" t="str">
        <f>IF(G10&gt;G9,"Insufficent","-")</f>
        <v>-</v>
      </c>
      <c r="K10" t="s">
        <v>93</v>
      </c>
      <c r="O10" s="3"/>
      <c r="P10" s="3"/>
      <c r="Q10" s="3"/>
      <c r="R10" s="3"/>
      <c r="S10" s="3" t="s">
        <v>15</v>
      </c>
      <c r="U10" s="56">
        <v>0.5</v>
      </c>
      <c r="V10" s="56">
        <v>0.5</v>
      </c>
      <c r="W10" s="56">
        <v>0.7</v>
      </c>
      <c r="X10" s="56">
        <v>0.05</v>
      </c>
      <c r="Y10" s="56">
        <v>0.05</v>
      </c>
      <c r="Z10" s="56">
        <v>0.1</v>
      </c>
      <c r="AB10" t="s">
        <v>70</v>
      </c>
      <c r="AC10" s="58">
        <v>0.1</v>
      </c>
      <c r="AD10" s="59">
        <v>0.5</v>
      </c>
      <c r="AE10" s="58">
        <v>0.2</v>
      </c>
    </row>
    <row r="11" spans="2:35" ht="13.8" customHeight="1" x14ac:dyDescent="0.3">
      <c r="F11" t="s">
        <v>94</v>
      </c>
      <c r="H11" s="56">
        <v>0.1</v>
      </c>
      <c r="J11" s="3"/>
      <c r="K11" s="3"/>
      <c r="L11" s="69" t="s">
        <v>4</v>
      </c>
      <c r="M11" s="70"/>
      <c r="N11" s="70"/>
      <c r="S11" s="3" t="s">
        <v>16</v>
      </c>
      <c r="U11" s="56">
        <v>0.3</v>
      </c>
      <c r="V11" s="56">
        <v>0.5</v>
      </c>
      <c r="W11" s="56">
        <v>0.1</v>
      </c>
      <c r="X11" s="56">
        <v>0.05</v>
      </c>
      <c r="Y11" s="56">
        <v>0.9</v>
      </c>
      <c r="Z11" s="56">
        <v>0.1</v>
      </c>
      <c r="AB11" t="s">
        <v>90</v>
      </c>
      <c r="AC11" s="58">
        <v>0.1</v>
      </c>
      <c r="AD11" s="59">
        <v>0.3</v>
      </c>
      <c r="AE11" s="58">
        <v>0.8</v>
      </c>
      <c r="AI11" s="3"/>
    </row>
    <row r="12" spans="2:35" ht="14.25" customHeight="1" x14ac:dyDescent="0.3">
      <c r="J12" s="3"/>
      <c r="K12" s="3"/>
      <c r="L12" s="69" t="s">
        <v>6</v>
      </c>
      <c r="M12" s="70"/>
      <c r="N12" s="70"/>
      <c r="O12" s="3"/>
      <c r="P12" s="3"/>
      <c r="S12" s="3" t="s">
        <v>95</v>
      </c>
      <c r="U12" s="60" t="e">
        <f>'[2]Calc Engine'!$BF3</f>
        <v>#REF!</v>
      </c>
      <c r="V12" s="60" t="e">
        <f>#REF!</f>
        <v>#REF!</v>
      </c>
      <c r="W12" s="60" t="e">
        <f>#REF!</f>
        <v>#REF!</v>
      </c>
      <c r="X12" s="60" t="e">
        <f>#REF!</f>
        <v>#REF!</v>
      </c>
      <c r="Y12" s="60" t="e">
        <f>#REF!</f>
        <v>#REF!</v>
      </c>
      <c r="Z12" s="60" t="e">
        <f>#REF!</f>
        <v>#REF!</v>
      </c>
      <c r="AA12" s="52"/>
      <c r="AC12" t="str">
        <f>IF(SUM(AC9:AC11) = 1, "", "Sum != 1")</f>
        <v/>
      </c>
      <c r="AD12" t="str">
        <f t="shared" ref="AD12:AE12" si="0">IF(SUM(AD9:AD11) = 1, "", "Sum != 1")</f>
        <v/>
      </c>
      <c r="AE12" t="str">
        <f t="shared" si="0"/>
        <v/>
      </c>
      <c r="AI12" s="3"/>
    </row>
    <row r="13" spans="2:35" s="61" customFormat="1" ht="14.25" customHeight="1" x14ac:dyDescent="0.3">
      <c r="B13" s="61" t="s">
        <v>96</v>
      </c>
      <c r="C13" s="61" t="s">
        <v>97</v>
      </c>
      <c r="D13" s="61" t="s">
        <v>98</v>
      </c>
      <c r="F13" s="61" t="s">
        <v>96</v>
      </c>
      <c r="G13" s="61" t="s">
        <v>97</v>
      </c>
      <c r="H13" s="61" t="s">
        <v>98</v>
      </c>
      <c r="J13" s="61" t="s">
        <v>7</v>
      </c>
      <c r="K13" s="61" t="s">
        <v>8</v>
      </c>
      <c r="L13" s="62" t="s">
        <v>9</v>
      </c>
      <c r="M13" s="62" t="s">
        <v>10</v>
      </c>
      <c r="N13" s="62" t="s">
        <v>15</v>
      </c>
      <c r="O13" s="62" t="s">
        <v>16</v>
      </c>
      <c r="AB13" s="63" t="s">
        <v>99</v>
      </c>
      <c r="AC13" s="63"/>
      <c r="AD13" s="63"/>
      <c r="AE13" s="64" t="s">
        <v>88</v>
      </c>
    </row>
    <row r="14" spans="2:35" ht="14.25" customHeight="1" x14ac:dyDescent="0.3">
      <c r="B14" s="3" t="s">
        <v>100</v>
      </c>
      <c r="C14" s="65">
        <v>720000</v>
      </c>
      <c r="D14" s="52">
        <f>IFERROR($C14/$C$8,"-")</f>
        <v>0.99173553719008267</v>
      </c>
      <c r="F14" s="2" t="s">
        <v>101</v>
      </c>
      <c r="G14" s="2">
        <v>0</v>
      </c>
      <c r="H14" s="52">
        <f t="shared" ref="H14:H23" si="1">IFERROR($G14/$C$8,"-")</f>
        <v>0</v>
      </c>
      <c r="J14" s="3" t="s">
        <v>102</v>
      </c>
      <c r="K14" s="3">
        <v>1</v>
      </c>
      <c r="L14" s="3">
        <v>32</v>
      </c>
      <c r="M14" s="2">
        <v>660000</v>
      </c>
      <c r="N14" s="2">
        <v>0</v>
      </c>
      <c r="O14" s="2"/>
      <c r="P14" s="2" t="str">
        <f>IF(NOT(ISBLANK(Goal_Input[[#This Row],[Goal]])),IF([2]Details!$M14&gt;0,IF(_xlfn.XLOOKUP([2]Details!$L14,'[2]Calc Engine'!$C$31:$C$66,'[2]Calc Engine'!$AO$31:$AO$66)&gt;[2]Details!$M14,"Goal Met","Goal Not Met"),"Goal Met"),"-")</f>
        <v>Goal Not Met</v>
      </c>
      <c r="Q14" s="2" t="str">
        <f>IF(NOT(ISBLANK(Goal_Input[[#This Row],[Goal]])),IF([2]Details!$N14&gt;0,IF(_xlfn.XLOOKUP([2]Details!$L14,'[2]Calc Engine'!$C$31:$C$66,'[2]Calc Engine'!$AT$31:$AT$66)&gt;[2]Details!$N14,"Goal Met","Goal Not Met"),"Goal Met"),"-")</f>
        <v>Goal Met</v>
      </c>
      <c r="R14" s="2" t="str">
        <f>IF(NOT(ISBLANK(Goal_Input[[#This Row],[Goal]])),IF([2]Details!$O14&gt;0,IF(_xlfn.XLOOKUP([2]Details!$L14,'[2]Calc Engine'!$C$31:$C$66,'[2]Calc Engine'!$AY$31:$AY$66)&gt;[2]Details!$O14,"Goal Met","Goal Not Met"),"Goal Met"),"-")</f>
        <v>Goal Met</v>
      </c>
      <c r="S14" s="2" t="str">
        <f>IF(AND(P14="Goal Met",Q14="Goal Met",R14="Goal Met"),"Goal Met",IF(ISBLANK(Goal_Input[[#This Row],[Goal]]),"-","Change Allocation"))</f>
        <v>Change Allocation</v>
      </c>
    </row>
    <row r="15" spans="2:35" ht="14.25" customHeight="1" x14ac:dyDescent="0.3">
      <c r="B15" s="3" t="s">
        <v>103</v>
      </c>
      <c r="C15" s="2">
        <v>0</v>
      </c>
      <c r="D15" s="52">
        <f>IFERROR($C15/$C$8,"-")</f>
        <v>0</v>
      </c>
      <c r="F15" s="2" t="s">
        <v>104</v>
      </c>
      <c r="G15" s="2">
        <v>18000</v>
      </c>
      <c r="H15" s="52">
        <f t="shared" si="1"/>
        <v>2.4793388429752067E-2</v>
      </c>
      <c r="J15" s="3" t="s">
        <v>105</v>
      </c>
      <c r="K15" s="3">
        <v>1</v>
      </c>
      <c r="L15" s="2">
        <v>35</v>
      </c>
      <c r="M15" s="2">
        <v>0</v>
      </c>
      <c r="N15" s="2">
        <v>340000</v>
      </c>
      <c r="O15" s="2">
        <v>0</v>
      </c>
      <c r="P15" s="2" t="str">
        <f>IF(NOT(ISBLANK(Goal_Input[[#This Row],[Goal]])),IF([2]Details!$M15&gt;0,IF(_xlfn.XLOOKUP([2]Details!$L15,'[2]Calc Engine'!$C$31:$C$66,'[2]Calc Engine'!$AO$31:$AO$66)&gt;[2]Details!$M15,"Goal Met","Goal Not Met"),"Goal Met"),"-")</f>
        <v>Goal Met</v>
      </c>
      <c r="Q15" s="2" t="str">
        <f>IF(NOT(ISBLANK(Goal_Input[[#This Row],[Goal]])),IF([2]Details!$N15&gt;0,IF(_xlfn.XLOOKUP([2]Details!$L15,'[2]Calc Engine'!$C$31:$C$66,'[2]Calc Engine'!$AT$31:$AT$66)&gt;[2]Details!$N15,"Goal Met","Goal Not Met"),"Goal Met"),"-")</f>
        <v>Goal Not Met</v>
      </c>
      <c r="R15" s="2" t="str">
        <f>IF(NOT(ISBLANK(Goal_Input[[#This Row],[Goal]])),IF([2]Details!$O15&gt;0,IF(_xlfn.XLOOKUP([2]Details!$L15,'[2]Calc Engine'!$C$31:$C$66,'[2]Calc Engine'!$AY$31:$AY$66)&gt;[2]Details!$O15,"Goal Met","Goal Not Met"),"Goal Met"),"-")</f>
        <v>Goal Met</v>
      </c>
      <c r="S15" s="2" t="str">
        <f>IF(AND(P15="Goal Met",Q15="Goal Met",R15="Goal Met"),"Goal Met",IF(ISBLANK(Goal_Input[[#This Row],[Goal]]),"-","Change Allocation"))</f>
        <v>Change Allocation</v>
      </c>
    </row>
    <row r="16" spans="2:35" ht="14.25" customHeight="1" x14ac:dyDescent="0.3">
      <c r="B16" s="3" t="s">
        <v>106</v>
      </c>
      <c r="C16" s="2">
        <v>6000</v>
      </c>
      <c r="D16" s="52">
        <f>IFERROR($C16/$C$8,"-")</f>
        <v>8.2644628099173556E-3</v>
      </c>
      <c r="F16" s="2" t="s">
        <v>50</v>
      </c>
      <c r="G16" s="2">
        <v>36000</v>
      </c>
      <c r="H16" s="52">
        <f t="shared" si="1"/>
        <v>4.9586776859504134E-2</v>
      </c>
      <c r="J16" s="3" t="s">
        <v>107</v>
      </c>
      <c r="K16" s="3">
        <v>1</v>
      </c>
      <c r="L16" s="2">
        <v>42</v>
      </c>
      <c r="M16" s="2">
        <v>430000</v>
      </c>
      <c r="N16" s="65">
        <v>0</v>
      </c>
      <c r="O16" s="65"/>
      <c r="P16" s="2" t="str">
        <f>IF(NOT(ISBLANK(Goal_Input[[#This Row],[Goal]])),IF([2]Details!$M16&gt;0,IF(_xlfn.XLOOKUP([2]Details!$L16,'[2]Calc Engine'!$C$31:$C$66,'[2]Calc Engine'!$AO$31:$AO$66)&gt;[2]Details!$M16,"Goal Met","Goal Not Met"),"Goal Met"),"-")</f>
        <v>Goal Not Met</v>
      </c>
      <c r="Q16" s="2" t="str">
        <f>IF(NOT(ISBLANK(Goal_Input[[#This Row],[Goal]])),IF([2]Details!$N16&gt;0,IF(_xlfn.XLOOKUP([2]Details!$L16,'[2]Calc Engine'!$C$31:$C$66,'[2]Calc Engine'!$AT$31:$AT$66)&gt;[2]Details!$N16,"Goal Met","Goal Not Met"),"Goal Met"),"-")</f>
        <v>Goal Met</v>
      </c>
      <c r="R16" s="2" t="str">
        <f>IF(NOT(ISBLANK(Goal_Input[[#This Row],[Goal]])),IF([2]Details!$O16&gt;0,IF(_xlfn.XLOOKUP([2]Details!$L16,'[2]Calc Engine'!$C$31:$C$66,'[2]Calc Engine'!$AY$31:$AY$66)&gt;[2]Details!$O16,"Goal Met","Goal Not Met"),"Goal Met"),"-")</f>
        <v>Goal Met</v>
      </c>
      <c r="S16" s="2" t="str">
        <f>IF(AND(P16="Goal Met",Q16="Goal Met",R16="Goal Met"),"Goal Met",IF(ISBLANK(Goal_Input[[#This Row],[Goal]]),"-","Change Allocation"))</f>
        <v>Change Allocation</v>
      </c>
      <c r="AB16" s="66" t="s">
        <v>108</v>
      </c>
      <c r="AC16" s="66"/>
    </row>
    <row r="17" spans="2:29" ht="14.25" customHeight="1" x14ac:dyDescent="0.3">
      <c r="B17" s="3" t="s">
        <v>109</v>
      </c>
      <c r="C17" s="2">
        <v>0</v>
      </c>
      <c r="D17" s="52">
        <f>IFERROR($C17/$C$8,"-")</f>
        <v>0</v>
      </c>
      <c r="F17" s="2" t="s">
        <v>110</v>
      </c>
      <c r="G17" s="2">
        <v>12000</v>
      </c>
      <c r="H17" s="52">
        <f t="shared" si="1"/>
        <v>1.6528925619834711E-2</v>
      </c>
      <c r="J17" s="3" t="s">
        <v>111</v>
      </c>
      <c r="K17" s="3">
        <v>1</v>
      </c>
      <c r="L17" s="2">
        <v>52</v>
      </c>
      <c r="M17" s="2">
        <f>6000000</f>
        <v>6000000</v>
      </c>
      <c r="N17" s="2">
        <v>0</v>
      </c>
      <c r="O17" s="2">
        <v>0</v>
      </c>
      <c r="P17" s="2" t="str">
        <f>IF(NOT(ISBLANK(Goal_Input[[#This Row],[Goal]])),IF([2]Details!$M17&gt;0,IF(_xlfn.XLOOKUP([2]Details!$L17,'[2]Calc Engine'!$C$31:$C$66,'[2]Calc Engine'!$AO$31:$AO$66)&gt;[2]Details!$M17,"Goal Met","Goal Not Met"),"Goal Met"),"-")</f>
        <v>Goal Not Met</v>
      </c>
      <c r="Q17" s="2" t="str">
        <f>IF(NOT(ISBLANK(Goal_Input[[#This Row],[Goal]])),IF([2]Details!$N17&gt;0,IF(_xlfn.XLOOKUP([2]Details!$L17,'[2]Calc Engine'!$C$31:$C$66,'[2]Calc Engine'!$AT$31:$AT$66)&gt;[2]Details!$N17,"Goal Met","Goal Not Met"),"Goal Met"),"-")</f>
        <v>Goal Met</v>
      </c>
      <c r="R17" s="2" t="str">
        <f>IF(NOT(ISBLANK(Goal_Input[[#This Row],[Goal]])),IF([2]Details!$O17&gt;0,IF(_xlfn.XLOOKUP([2]Details!$L17,'[2]Calc Engine'!$C$31:$C$66,'[2]Calc Engine'!$AY$31:$AY$66)&gt;[2]Details!$O17,"Goal Met","Goal Not Met"),"Goal Met"),"-")</f>
        <v>Goal Met</v>
      </c>
      <c r="S17" s="2" t="str">
        <f>IF(AND(P17="Goal Met",Q17="Goal Met",R17="Goal Met"),"Goal Met",IF(ISBLANK(Goal_Input[[#This Row],[Goal]]),"-","Change Allocation"))</f>
        <v>Change Allocation</v>
      </c>
      <c r="T17" s="71" t="s">
        <v>112</v>
      </c>
      <c r="U17" s="72"/>
      <c r="V17" s="72"/>
      <c r="AB17" s="57" t="s">
        <v>73</v>
      </c>
      <c r="AC17" s="1">
        <f>INDEX($AC$9:$AE$11,MATCH($AB17,$AB$9:$AB$11,0),MATCH($AE$13,$AC$8:$AE$8,0))</f>
        <v>0.8</v>
      </c>
    </row>
    <row r="18" spans="2:29" ht="14.25" customHeight="1" x14ac:dyDescent="0.3">
      <c r="B18" s="3" t="s">
        <v>113</v>
      </c>
      <c r="C18" s="3" t="s">
        <v>66</v>
      </c>
      <c r="D18" s="52" t="str">
        <f>IFERROR($C18/$C$8,"-")</f>
        <v>-</v>
      </c>
      <c r="F18" s="2" t="s">
        <v>114</v>
      </c>
      <c r="G18" s="2">
        <v>6000</v>
      </c>
      <c r="H18" s="52">
        <f t="shared" si="1"/>
        <v>8.2644628099173556E-3</v>
      </c>
      <c r="J18" s="3" t="s">
        <v>115</v>
      </c>
      <c r="K18" s="3">
        <v>1</v>
      </c>
      <c r="L18" s="2">
        <v>28</v>
      </c>
      <c r="M18" s="2">
        <v>0</v>
      </c>
      <c r="N18" s="65">
        <v>209000</v>
      </c>
      <c r="O18" s="2">
        <v>0</v>
      </c>
      <c r="P18" s="2" t="str">
        <f>IF(NOT(ISBLANK(Goal_Input[[#This Row],[Goal]])),IF([2]Details!$M18&gt;0,IF(_xlfn.XLOOKUP([2]Details!$L18,'[2]Calc Engine'!$C$31:$C$66,'[2]Calc Engine'!$AO$31:$AO$66)&gt;[2]Details!$M18,"Goal Met","Goal Not Met"),"Goal Met"),"-")</f>
        <v>Goal Met</v>
      </c>
      <c r="Q18" s="2" t="str">
        <f>IF(NOT(ISBLANK(Goal_Input[[#This Row],[Goal]])),IF([2]Details!$N18&gt;0,IF(_xlfn.XLOOKUP([2]Details!$L18,'[2]Calc Engine'!$C$31:$C$66,'[2]Calc Engine'!$AT$31:$AT$66)&gt;[2]Details!$N18,"Goal Met","Goal Not Met"),"Goal Met"),"-")</f>
        <v>Goal Not Met</v>
      </c>
      <c r="R18" s="2" t="str">
        <f>IF(NOT(ISBLANK(Goal_Input[[#This Row],[Goal]])),IF([2]Details!$O18&gt;0,IF(_xlfn.XLOOKUP([2]Details!$L18,'[2]Calc Engine'!$C$31:$C$66,'[2]Calc Engine'!$AY$31:$AY$66)&gt;[2]Details!$O18,"Goal Met","Goal Not Met"),"Goal Met"),"-")</f>
        <v>Goal Met</v>
      </c>
      <c r="S18" s="2" t="str">
        <f>IF(AND(P18="Goal Met",Q18="Goal Met",R18="Goal Met"),"Goal Met",IF(ISBLANK(Goal_Input[[#This Row],[Goal]]),"-","Change Allocation"))</f>
        <v>Change Allocation</v>
      </c>
      <c r="T18" s="2" t="s">
        <v>116</v>
      </c>
      <c r="V18" s="67">
        <v>100000</v>
      </c>
      <c r="AB18" t="s">
        <v>70</v>
      </c>
      <c r="AC18" s="1">
        <f>INDEX($AC$9:$AE$11,MATCH($AB18,$AB$9:$AB$11,0),MATCH($AE$13,$AC$8:$AE$8,0))</f>
        <v>0.1</v>
      </c>
    </row>
    <row r="19" spans="2:29" ht="14.25" customHeight="1" x14ac:dyDescent="0.3">
      <c r="B19" s="3"/>
      <c r="C19" s="3"/>
      <c r="D19" s="52"/>
      <c r="F19" s="2" t="s">
        <v>117</v>
      </c>
      <c r="G19" s="2">
        <v>24000</v>
      </c>
      <c r="H19" s="52">
        <f t="shared" si="1"/>
        <v>3.3057851239669422E-2</v>
      </c>
      <c r="J19" s="3" t="s">
        <v>118</v>
      </c>
      <c r="K19" s="3">
        <v>1</v>
      </c>
      <c r="L19" s="2">
        <v>38</v>
      </c>
      <c r="M19" s="2">
        <v>0</v>
      </c>
      <c r="N19" s="2">
        <v>0</v>
      </c>
      <c r="O19" s="2">
        <v>5500000</v>
      </c>
      <c r="P19" s="2" t="str">
        <f>IF(NOT(ISBLANK(Goal_Input[[#This Row],[Goal]])),IF([2]Details!$M19&gt;0,IF(_xlfn.XLOOKUP([2]Details!$L19,'[2]Calc Engine'!$C$31:$C$66,'[2]Calc Engine'!$AO$31:$AO$66)&gt;[2]Details!$M19,"Goal Met","Goal Not Met"),"Goal Met"),"-")</f>
        <v>Goal Met</v>
      </c>
      <c r="Q19" s="2" t="str">
        <f>IF(NOT(ISBLANK(Goal_Input[[#This Row],[Goal]])),IF([2]Details!$N19&gt;0,IF(_xlfn.XLOOKUP([2]Details!$L19,'[2]Calc Engine'!$C$31:$C$66,'[2]Calc Engine'!$AT$31:$AT$66)&gt;[2]Details!$N19,"Goal Met","Goal Not Met"),"Goal Met"),"-")</f>
        <v>Goal Met</v>
      </c>
      <c r="R19" s="2" t="str">
        <f>IF(NOT(ISBLANK(Goal_Input[[#This Row],[Goal]])),IF([2]Details!$O19&gt;0,IF(_xlfn.XLOOKUP([2]Details!$L19,'[2]Calc Engine'!$C$31:$C$66,'[2]Calc Engine'!$AY$31:$AY$66)&gt;[2]Details!$O19,"Goal Met","Goal Not Met"),"Goal Met"),"-")</f>
        <v>Goal Met</v>
      </c>
      <c r="S19" s="2" t="str">
        <f>IF(AND(P19="Goal Met",Q19="Goal Met",R19="Goal Met"),"Goal Met",IF(ISBLANK(Goal_Input[[#This Row],[Goal]]),"-","Change Allocation"))</f>
        <v>Goal Met</v>
      </c>
      <c r="T19" s="2" t="s">
        <v>119</v>
      </c>
      <c r="V19" s="67">
        <v>300000</v>
      </c>
      <c r="AB19" t="s">
        <v>90</v>
      </c>
      <c r="AC19" s="1">
        <f>INDEX($AC$9:$AE$11,MATCH($AB19,$AB$9:$AB$11,0),MATCH($AE$13,$AC$8:$AE$8,0))</f>
        <v>0.1</v>
      </c>
    </row>
    <row r="20" spans="2:29" ht="14.25" customHeight="1" x14ac:dyDescent="0.3">
      <c r="B20" s="3"/>
      <c r="C20" s="3"/>
      <c r="D20" s="52"/>
      <c r="F20" s="2" t="s">
        <v>120</v>
      </c>
      <c r="G20" s="2">
        <v>18000</v>
      </c>
      <c r="H20" s="52">
        <f t="shared" si="1"/>
        <v>2.4793388429752067E-2</v>
      </c>
      <c r="J20" s="3"/>
      <c r="K20" s="3">
        <v>1</v>
      </c>
      <c r="L20" s="3">
        <v>0</v>
      </c>
      <c r="M20" s="2">
        <v>0</v>
      </c>
      <c r="N20" s="2">
        <v>0</v>
      </c>
      <c r="O20" s="2">
        <v>0</v>
      </c>
      <c r="P20" s="2" t="str">
        <f>IF(NOT(ISBLANK(Goal_Input[[#This Row],[Goal]])),IF([2]Details!$M20&gt;0,IF(_xlfn.XLOOKUP([2]Details!$L20,'[2]Calc Engine'!$C$31:$C$66,'[2]Calc Engine'!$AO$31:$AO$66)&gt;[2]Details!$M20,"Goal Met","Goal Not Met"),"Goal Met"),"-")</f>
        <v>-</v>
      </c>
      <c r="Q20" s="2" t="str">
        <f>IF(NOT(ISBLANK(Goal_Input[[#This Row],[Goal]])),IF([2]Details!$N20&gt;0,IF(_xlfn.XLOOKUP([2]Details!$L20,'[2]Calc Engine'!$C$31:$C$66,'[2]Calc Engine'!$AT$31:$AT$66)&gt;[2]Details!$N20,"Goal Met","Goal Not Met"),"Goal Met"),"-")</f>
        <v>-</v>
      </c>
      <c r="R20" s="2" t="str">
        <f>IF(NOT(ISBLANK(Goal_Input[[#This Row],[Goal]])),IF([2]Details!$O20&gt;0,IF(_xlfn.XLOOKUP([2]Details!$L20,'[2]Calc Engine'!$C$31:$C$66,'[2]Calc Engine'!$AY$31:$AY$66)&gt;[2]Details!$O20,"Goal Met","Goal Not Met"),"Goal Met"),"-")</f>
        <v>-</v>
      </c>
      <c r="S20" s="2" t="str">
        <f>IF(AND(P20="Goal Met",Q20="Goal Met",R20="Goal Met"),"Goal Met",IF(ISBLANK(Goal_Input[[#This Row],[Goal]]),"-","Change Allocation"))</f>
        <v>-</v>
      </c>
      <c r="T20" s="57" t="s">
        <v>121</v>
      </c>
      <c r="V20">
        <v>80000</v>
      </c>
    </row>
    <row r="21" spans="2:29" ht="14.25" customHeight="1" x14ac:dyDescent="0.3">
      <c r="C21" s="3"/>
      <c r="D21" s="52"/>
      <c r="F21" s="2" t="s">
        <v>46</v>
      </c>
      <c r="G21" s="2">
        <v>84000</v>
      </c>
      <c r="H21" s="52">
        <f t="shared" si="1"/>
        <v>0.11570247933884298</v>
      </c>
      <c r="J21" s="3"/>
      <c r="K21" s="3">
        <v>1</v>
      </c>
      <c r="L21" s="3">
        <v>0</v>
      </c>
      <c r="M21" s="2">
        <v>0</v>
      </c>
      <c r="N21" s="2">
        <v>0</v>
      </c>
      <c r="O21" s="2">
        <v>0</v>
      </c>
      <c r="P21" s="2" t="str">
        <f>IF(NOT(ISBLANK(Goal_Input[[#This Row],[Goal]])),IF([2]Details!$M21&gt;0,IF(_xlfn.XLOOKUP([2]Details!$L21,'[2]Calc Engine'!$C$31:$C$66,'[2]Calc Engine'!$AO$31:$AO$66)&gt;[2]Details!$M21,"Goal Met","Goal Not Met"),"Goal Met"),"-")</f>
        <v>-</v>
      </c>
      <c r="Q21" s="2" t="str">
        <f>IF(NOT(ISBLANK(Goal_Input[[#This Row],[Goal]])),IF([2]Details!$N21&gt;0,IF(_xlfn.XLOOKUP([2]Details!$L21,'[2]Calc Engine'!$C$31:$C$66,'[2]Calc Engine'!$AT$31:$AT$66)&gt;[2]Details!$N21,"Goal Met","Goal Not Met"),"Goal Met"),"-")</f>
        <v>-</v>
      </c>
      <c r="R21" s="2" t="str">
        <f>IF(NOT(ISBLANK(Goal_Input[[#This Row],[Goal]])),IF([2]Details!$O21&gt;0,IF(_xlfn.XLOOKUP([2]Details!$L21,'[2]Calc Engine'!$C$31:$C$66,'[2]Calc Engine'!$AY$31:$AY$66)&gt;[2]Details!$O21,"Goal Met","Goal Not Met"),"Goal Met"),"-")</f>
        <v>-</v>
      </c>
      <c r="S21" s="2" t="str">
        <f>IF(AND(P21="Goal Met",Q21="Goal Met",R21="Goal Met"),"Goal Met",IF(ISBLANK(Goal_Input[[#This Row],[Goal]]),"-","Change Allocation"))</f>
        <v>-</v>
      </c>
    </row>
    <row r="22" spans="2:29" ht="14.25" customHeight="1" x14ac:dyDescent="0.3">
      <c r="C22" s="3"/>
      <c r="D22" s="52"/>
      <c r="F22" s="3" t="s">
        <v>45</v>
      </c>
      <c r="G22" s="2">
        <v>12000</v>
      </c>
      <c r="H22" s="52">
        <f t="shared" si="1"/>
        <v>1.6528925619834711E-2</v>
      </c>
      <c r="J22" s="3"/>
      <c r="K22" s="3">
        <v>1</v>
      </c>
      <c r="L22" s="3">
        <v>0</v>
      </c>
      <c r="M22" s="2">
        <v>0</v>
      </c>
      <c r="N22" s="2">
        <v>0</v>
      </c>
      <c r="O22" s="2">
        <v>0</v>
      </c>
      <c r="P22" s="2" t="str">
        <f>IF(NOT(ISBLANK(Goal_Input[[#This Row],[Goal]])),IF([2]Details!$M22&gt;0,IF(_xlfn.XLOOKUP([2]Details!$L22,'[2]Calc Engine'!$C$31:$C$66,'[2]Calc Engine'!$AO$31:$AO$66)&gt;[2]Details!$M22,"Goal Met","Goal Not Met"),"Goal Met"),"-")</f>
        <v>-</v>
      </c>
      <c r="Q22" s="2" t="str">
        <f>IF(NOT(ISBLANK(Goal_Input[[#This Row],[Goal]])),IF([2]Details!$N22&gt;0,IF(_xlfn.XLOOKUP([2]Details!$L22,'[2]Calc Engine'!$C$31:$C$66,'[2]Calc Engine'!$AT$31:$AT$66)&gt;[2]Details!$N22,"Goal Met","Goal Not Met"),"Goal Met"),"-")</f>
        <v>-</v>
      </c>
      <c r="R22" s="2" t="str">
        <f>IF(NOT(ISBLANK(Goal_Input[[#This Row],[Goal]])),IF([2]Details!$O22&gt;0,IF(_xlfn.XLOOKUP([2]Details!$L22,'[2]Calc Engine'!$C$31:$C$66,'[2]Calc Engine'!$AY$31:$AY$66)&gt;[2]Details!$O22,"Goal Met","Goal Not Met"),"Goal Met"),"-")</f>
        <v>-</v>
      </c>
      <c r="S22" s="2" t="str">
        <f>IF(AND(P22="Goal Met",Q22="Goal Met",R22="Goal Met"),"Goal Met",IF(ISBLANK(Goal_Input[[#This Row],[Goal]]),"-","Change Allocation"))</f>
        <v>-</v>
      </c>
    </row>
    <row r="23" spans="2:29" ht="14.25" customHeight="1" x14ac:dyDescent="0.3">
      <c r="C23" s="3"/>
      <c r="D23" s="52"/>
      <c r="F23" s="3" t="s">
        <v>24</v>
      </c>
      <c r="G23" s="2">
        <v>24000</v>
      </c>
      <c r="H23" s="52">
        <f t="shared" si="1"/>
        <v>3.3057851239669422E-2</v>
      </c>
      <c r="J23" s="3"/>
      <c r="K23" s="3">
        <v>1</v>
      </c>
      <c r="L23" s="3">
        <v>0</v>
      </c>
      <c r="M23" s="2">
        <v>0</v>
      </c>
      <c r="N23" s="2">
        <v>0</v>
      </c>
      <c r="O23" s="2">
        <v>0</v>
      </c>
      <c r="P23" s="2" t="str">
        <f>IF(NOT(ISBLANK(Goal_Input[[#This Row],[Goal]])),IF([2]Details!$M23&gt;0,IF(_xlfn.XLOOKUP([2]Details!$L23,'[2]Calc Engine'!$C$31:$C$66,'[2]Calc Engine'!$AO$31:$AO$66)&gt;[2]Details!$M23,"Goal Met","Goal Not Met"),"Goal Met"),"-")</f>
        <v>-</v>
      </c>
      <c r="Q23" s="2" t="str">
        <f>IF(NOT(ISBLANK(Goal_Input[[#This Row],[Goal]])),IF([2]Details!$N23&gt;0,IF(_xlfn.XLOOKUP([2]Details!$L23,'[2]Calc Engine'!$C$31:$C$66,'[2]Calc Engine'!$AT$31:$AT$66)&gt;[2]Details!$N23,"Goal Met","Goal Not Met"),"Goal Met"),"-")</f>
        <v>-</v>
      </c>
      <c r="R23" s="2" t="str">
        <f>IF(NOT(ISBLANK(Goal_Input[[#This Row],[Goal]])),IF([2]Details!$O23&gt;0,IF(_xlfn.XLOOKUP([2]Details!$L23,'[2]Calc Engine'!$C$31:$C$66,'[2]Calc Engine'!$AY$31:$AY$66)&gt;[2]Details!$O23,"Goal Met","Goal Not Met"),"Goal Met"),"-")</f>
        <v>-</v>
      </c>
      <c r="S23" s="2" t="str">
        <f>IF(AND(P23="Goal Met",Q23="Goal Met",R23="Goal Met"),"Goal Met",IF(ISBLANK(Goal_Input[[#This Row],[Goal]]),"-","Change Allocation"))</f>
        <v>-</v>
      </c>
    </row>
    <row r="24" spans="2:29" ht="14.25" customHeight="1" x14ac:dyDescent="0.3"/>
    <row r="25" spans="2:29" ht="14.25" customHeight="1" x14ac:dyDescent="0.3"/>
    <row r="26" spans="2:29" ht="14.25" customHeight="1" x14ac:dyDescent="0.3"/>
    <row r="27" spans="2:29" ht="14.25" customHeight="1" x14ac:dyDescent="0.3"/>
    <row r="28" spans="2:29" ht="14.25" customHeight="1" x14ac:dyDescent="0.3"/>
    <row r="29" spans="2:29" ht="14.25" customHeight="1" x14ac:dyDescent="0.3"/>
    <row r="30" spans="2:29" ht="14.25" customHeight="1" x14ac:dyDescent="0.3"/>
    <row r="31" spans="2:29" ht="14.25" customHeight="1" x14ac:dyDescent="0.3"/>
    <row r="32" spans="2:2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9">
    <mergeCell ref="B7:D7"/>
    <mergeCell ref="F7:H7"/>
    <mergeCell ref="J7:N7"/>
    <mergeCell ref="AB7:AE7"/>
    <mergeCell ref="L11:N11"/>
    <mergeCell ref="L12:N12"/>
    <mergeCell ref="T17:V17"/>
    <mergeCell ref="J2:N2"/>
    <mergeCell ref="S6:Z6"/>
  </mergeCells>
  <conditionalFormatting sqref="AE13">
    <cfRule type="containsText" dxfId="2" priority="1" operator="containsText" text="Worst">
      <formula>NOT(ISERROR(SEARCH("Worst",AE13)))</formula>
    </cfRule>
    <cfRule type="containsText" dxfId="1" priority="2" operator="containsText" text="Medium">
      <formula>NOT(ISERROR(SEARCH("Medium",AE13)))</formula>
    </cfRule>
    <cfRule type="containsText" dxfId="0" priority="3" operator="containsText" text="Best">
      <formula>NOT(ISERROR(SEARCH("Best",AE13)))</formula>
    </cfRule>
  </conditionalFormatting>
  <dataValidations count="3">
    <dataValidation type="list" allowBlank="1" showInputMessage="1" showErrorMessage="1" sqref="K14:K23" xr:uid="{E74BDF9E-6DB3-4ECF-9728-E8DED16A018B}">
      <formula1>"1,2,3"</formula1>
    </dataValidation>
    <dataValidation type="list" allowBlank="1" showInputMessage="1" showErrorMessage="1" sqref="AE13" xr:uid="{02ED2E36-628E-4FDF-886D-A7ED6812EAC5}">
      <formula1>$AC$8:$AE$8</formula1>
    </dataValidation>
    <dataValidation type="list" allowBlank="1" showErrorMessage="1" sqref="L4" xr:uid="{AB4D2800-1A37-4EE3-BBEE-F78AB4559481}">
      <formula1>$M$13:$O$13</formula1>
    </dataValidation>
  </dataValidation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F5A0-9C2A-4DB9-BEA9-44BE0D316D15}">
  <sheetPr codeName="Sheet4"/>
  <dimension ref="A1:AE1000"/>
  <sheetViews>
    <sheetView topLeftCell="A9" zoomScale="105" workbookViewId="0">
      <selection activeCell="C21" sqref="C21"/>
    </sheetView>
  </sheetViews>
  <sheetFormatPr defaultColWidth="12.6640625" defaultRowHeight="15" customHeight="1" x14ac:dyDescent="0.3"/>
  <cols>
    <col min="1" max="1" width="8.6640625" customWidth="1"/>
    <col min="2" max="2" width="15.21875" customWidth="1"/>
    <col min="3" max="4" width="13.77734375" customWidth="1"/>
    <col min="5" max="5" width="16.5546875" customWidth="1"/>
    <col min="6" max="6" width="10.6640625" customWidth="1"/>
    <col min="7" max="7" width="8.6640625" customWidth="1"/>
    <col min="8" max="8" width="17.109375" customWidth="1"/>
    <col min="9" max="9" width="9" customWidth="1"/>
    <col min="10" max="13" width="8.6640625" customWidth="1"/>
    <col min="14" max="14" width="12.33203125" customWidth="1"/>
    <col min="15" max="15" width="14.44140625" customWidth="1"/>
    <col min="16" max="16" width="12.109375" customWidth="1"/>
    <col min="17" max="17" width="14.21875" customWidth="1"/>
    <col min="18" max="18" width="14.88671875" customWidth="1"/>
    <col min="19" max="19" width="15.33203125" customWidth="1"/>
    <col min="20" max="20" width="17.77734375" customWidth="1"/>
    <col min="21" max="21" width="11.44140625" customWidth="1"/>
    <col min="22" max="22" width="10.44140625" customWidth="1"/>
    <col min="23" max="23" width="8.6640625" customWidth="1"/>
    <col min="24" max="24" width="36.5546875" customWidth="1"/>
    <col min="25" max="26" width="8.6640625" customWidth="1"/>
    <col min="27" max="27" width="12.77734375" customWidth="1"/>
    <col min="28" max="31" width="8.6640625" customWidth="1"/>
  </cols>
  <sheetData>
    <row r="1" spans="2:31" ht="14.25" customHeight="1" x14ac:dyDescent="0.3"/>
    <row r="2" spans="2:31" ht="14.25" customHeight="1" x14ac:dyDescent="0.3"/>
    <row r="3" spans="2:31" ht="14.25" customHeight="1" x14ac:dyDescent="0.3"/>
    <row r="4" spans="2:31" ht="14.25" customHeight="1" x14ac:dyDescent="0.3">
      <c r="F4" s="2"/>
      <c r="R4" s="2" t="s">
        <v>77</v>
      </c>
    </row>
    <row r="5" spans="2:31" ht="14.25" customHeight="1" x14ac:dyDescent="0.3"/>
    <row r="6" spans="2:31" ht="14.25" customHeight="1" x14ac:dyDescent="0.3">
      <c r="E6" s="55" t="s">
        <v>76</v>
      </c>
      <c r="F6" s="55" t="s">
        <v>75</v>
      </c>
      <c r="I6" t="s">
        <v>74</v>
      </c>
    </row>
    <row r="7" spans="2:31" ht="14.25" customHeight="1" x14ac:dyDescent="0.3">
      <c r="E7" s="4" t="s">
        <v>73</v>
      </c>
      <c r="F7" s="52">
        <f>Details!AC17</f>
        <v>0.8</v>
      </c>
      <c r="H7" t="s">
        <v>72</v>
      </c>
      <c r="I7" s="54" t="s">
        <v>71</v>
      </c>
    </row>
    <row r="8" spans="2:31" ht="14.25" customHeight="1" x14ac:dyDescent="0.3">
      <c r="E8" t="s">
        <v>70</v>
      </c>
      <c r="F8" s="52">
        <f>Details!AC18</f>
        <v>0.1</v>
      </c>
      <c r="G8" s="52"/>
      <c r="H8" s="52" t="s">
        <v>69</v>
      </c>
      <c r="I8" s="54">
        <v>0</v>
      </c>
      <c r="R8" s="52"/>
      <c r="S8" s="52"/>
      <c r="T8" s="52"/>
    </row>
    <row r="9" spans="2:31" ht="14.25" customHeight="1" x14ac:dyDescent="0.3">
      <c r="E9" t="s">
        <v>68</v>
      </c>
      <c r="F9" s="52">
        <f>Details!AC19</f>
        <v>0.1</v>
      </c>
      <c r="G9" s="52"/>
      <c r="H9" s="52" t="s">
        <v>67</v>
      </c>
      <c r="I9" s="54" t="s">
        <v>66</v>
      </c>
      <c r="R9" s="52"/>
      <c r="S9" s="52"/>
      <c r="T9" s="52"/>
    </row>
    <row r="10" spans="2:31" ht="14.25" customHeight="1" x14ac:dyDescent="0.3">
      <c r="F10" s="52"/>
      <c r="G10" s="52"/>
      <c r="H10" s="52"/>
      <c r="I10" s="54"/>
      <c r="R10" s="52"/>
      <c r="S10" s="52"/>
      <c r="T10" s="52"/>
    </row>
    <row r="11" spans="2:31" ht="14.25" customHeight="1" x14ac:dyDescent="0.3">
      <c r="F11" s="52"/>
      <c r="G11" s="52"/>
      <c r="H11" s="52"/>
      <c r="R11" s="52"/>
      <c r="S11" s="52"/>
      <c r="T11" s="52"/>
    </row>
    <row r="12" spans="2:31" ht="14.25" customHeight="1" x14ac:dyDescent="0.3">
      <c r="E12" s="69" t="s">
        <v>65</v>
      </c>
      <c r="F12" s="70"/>
      <c r="G12" s="70"/>
      <c r="H12" s="70"/>
      <c r="I12" s="70"/>
      <c r="O12" s="76" t="s">
        <v>62</v>
      </c>
      <c r="P12" s="76"/>
      <c r="Q12" s="76"/>
      <c r="R12" s="76"/>
      <c r="S12" s="76"/>
      <c r="T12" s="76"/>
      <c r="AA12" s="76" t="s">
        <v>64</v>
      </c>
      <c r="AB12" s="76"/>
      <c r="AC12" s="76"/>
      <c r="AD12" s="76"/>
      <c r="AE12" s="76"/>
    </row>
    <row r="13" spans="2:31" ht="14.25" customHeight="1" x14ac:dyDescent="0.3">
      <c r="C13" t="s">
        <v>63</v>
      </c>
      <c r="E13" s="2" t="str">
        <f t="array" ref="E13:I13">TRANSPOSE([1]Details!$B$14:$B$18)</f>
        <v>Salary</v>
      </c>
      <c r="F13" s="2" t="str">
        <v>Rent</v>
      </c>
      <c r="G13" s="2" t="str">
        <v>Interest</v>
      </c>
      <c r="H13" s="2" t="str">
        <v>Business Income</v>
      </c>
      <c r="I13" s="2" t="str">
        <v>Other Income</v>
      </c>
      <c r="O13" s="2" t="s">
        <v>62</v>
      </c>
      <c r="P13" s="2" t="s">
        <v>61</v>
      </c>
      <c r="Q13" s="2" t="s">
        <v>60</v>
      </c>
      <c r="R13" s="2" t="s">
        <v>59</v>
      </c>
      <c r="S13" s="2" t="s">
        <v>58</v>
      </c>
      <c r="T13" t="s">
        <v>57</v>
      </c>
      <c r="V13" s="2" t="s">
        <v>56</v>
      </c>
      <c r="AA13" s="2" t="s">
        <v>10</v>
      </c>
      <c r="AB13" s="2" t="s">
        <v>15</v>
      </c>
      <c r="AC13" s="2" t="s">
        <v>16</v>
      </c>
      <c r="AD13" s="2" t="s">
        <v>55</v>
      </c>
      <c r="AE13" s="2" t="s">
        <v>33</v>
      </c>
    </row>
    <row r="14" spans="2:31" ht="14.25" customHeight="1" x14ac:dyDescent="0.3">
      <c r="B14" s="2" t="str">
        <f t="array" ref="B14:C16">'Assumptions Sheet'!$E$7:$F$9</f>
        <v>Good</v>
      </c>
      <c r="C14" s="52">
        <v>0.8</v>
      </c>
      <c r="D14" s="53">
        <f>C14</f>
        <v>0.8</v>
      </c>
      <c r="E14" s="52">
        <v>0.1</v>
      </c>
      <c r="F14" s="52">
        <v>0.05</v>
      </c>
      <c r="G14" s="52">
        <v>0.05</v>
      </c>
      <c r="H14" s="52">
        <v>0.1</v>
      </c>
      <c r="I14" s="52">
        <v>0</v>
      </c>
      <c r="N14" s="2"/>
      <c r="O14" s="52">
        <v>0.05</v>
      </c>
      <c r="P14" s="52">
        <v>0.04</v>
      </c>
      <c r="Q14" s="52">
        <v>0.08</v>
      </c>
      <c r="R14" s="52">
        <v>0.06</v>
      </c>
      <c r="S14" s="52">
        <v>0.04</v>
      </c>
      <c r="T14" s="52">
        <f>O14</f>
        <v>0.05</v>
      </c>
      <c r="U14" s="52"/>
      <c r="V14" s="19">
        <v>10000</v>
      </c>
      <c r="X14" s="2" t="s">
        <v>54</v>
      </c>
      <c r="Y14" s="53">
        <f>C14</f>
        <v>0.8</v>
      </c>
      <c r="Z14" s="2">
        <f>Y14</f>
        <v>0.8</v>
      </c>
      <c r="AA14" s="52">
        <v>0.14000000000000001</v>
      </c>
      <c r="AB14" s="52">
        <v>0.16</v>
      </c>
      <c r="AC14" s="52">
        <v>0.2</v>
      </c>
      <c r="AD14" s="52">
        <v>0.05</v>
      </c>
      <c r="AE14" s="52">
        <v>0.03</v>
      </c>
    </row>
    <row r="15" spans="2:31" ht="14.25" customHeight="1" x14ac:dyDescent="0.3">
      <c r="B15" s="2" t="str">
        <v>Mid</v>
      </c>
      <c r="C15" s="52">
        <v>0.1</v>
      </c>
      <c r="D15" s="53">
        <f>SUM(C14:C15)</f>
        <v>0.9</v>
      </c>
      <c r="E15" s="52">
        <v>7.0000000000000007E-2</v>
      </c>
      <c r="F15" s="52">
        <v>0.05</v>
      </c>
      <c r="G15" s="52">
        <v>0.05</v>
      </c>
      <c r="H15" s="52">
        <v>0.05</v>
      </c>
      <c r="I15" s="52">
        <v>0</v>
      </c>
      <c r="N15" s="2"/>
      <c r="O15" s="52">
        <v>0.06</v>
      </c>
      <c r="P15" s="52">
        <v>0.05</v>
      </c>
      <c r="Q15" s="52">
        <v>0.05</v>
      </c>
      <c r="R15" s="52">
        <v>0.06</v>
      </c>
      <c r="S15" s="52">
        <v>0.04</v>
      </c>
      <c r="T15" s="52">
        <v>0.04</v>
      </c>
      <c r="U15" s="52"/>
      <c r="V15" s="19">
        <v>15000</v>
      </c>
      <c r="X15" s="2" t="s">
        <v>53</v>
      </c>
      <c r="Y15" s="53">
        <f>C15</f>
        <v>0.1</v>
      </c>
      <c r="Z15" s="2">
        <f>SUM(Y14:Y15)</f>
        <v>0.9</v>
      </c>
      <c r="AA15" s="52">
        <v>0.12</v>
      </c>
      <c r="AB15" s="52">
        <v>0.14000000000000001</v>
      </c>
      <c r="AC15" s="52">
        <v>0.16</v>
      </c>
      <c r="AD15" s="52">
        <v>0.05</v>
      </c>
      <c r="AE15" s="52">
        <v>0.03</v>
      </c>
    </row>
    <row r="16" spans="2:31" ht="14.25" customHeight="1" x14ac:dyDescent="0.3">
      <c r="B16" s="2" t="str">
        <v>Bad</v>
      </c>
      <c r="C16" s="52">
        <v>0.1</v>
      </c>
      <c r="D16" s="53">
        <f>SUM(C14:C16)</f>
        <v>1</v>
      </c>
      <c r="E16" s="52">
        <v>0.04</v>
      </c>
      <c r="F16" s="52">
        <v>0.05</v>
      </c>
      <c r="G16" s="52">
        <v>0.05</v>
      </c>
      <c r="H16" s="52">
        <v>0.01</v>
      </c>
      <c r="I16" s="52">
        <v>0</v>
      </c>
      <c r="N16" s="2"/>
      <c r="O16" s="52">
        <v>0.08</v>
      </c>
      <c r="P16" s="52">
        <v>7.0000000000000007E-2</v>
      </c>
      <c r="Q16" s="52">
        <v>0.1</v>
      </c>
      <c r="R16" s="52">
        <v>0.06</v>
      </c>
      <c r="S16" s="52">
        <v>0.04</v>
      </c>
      <c r="T16" s="52">
        <v>0.08</v>
      </c>
      <c r="U16" s="52"/>
      <c r="V16" s="19">
        <v>30000</v>
      </c>
      <c r="X16" s="2" t="s">
        <v>52</v>
      </c>
      <c r="Y16" s="53">
        <f>C16</f>
        <v>0.1</v>
      </c>
      <c r="Z16" s="2">
        <f>SUM(Y14:Y16)</f>
        <v>1</v>
      </c>
      <c r="AA16" s="52">
        <v>0.09</v>
      </c>
      <c r="AB16" s="52">
        <v>0.12</v>
      </c>
      <c r="AC16" s="52">
        <v>0.14000000000000001</v>
      </c>
      <c r="AD16" s="52">
        <v>0.05</v>
      </c>
      <c r="AE16" s="52">
        <v>0.03</v>
      </c>
    </row>
    <row r="17" spans="1:31" ht="14.25" customHeight="1" x14ac:dyDescent="0.3"/>
    <row r="18" spans="1:31" ht="14.25" customHeight="1" x14ac:dyDescent="0.3"/>
    <row r="19" spans="1:31" ht="14.25" customHeight="1" x14ac:dyDescent="0.3"/>
    <row r="20" spans="1:31" ht="14.25" customHeight="1" x14ac:dyDescent="0.3">
      <c r="E20" s="2" t="str">
        <f>E13</f>
        <v>Salary</v>
      </c>
      <c r="F20" s="2" t="str">
        <f>F13</f>
        <v>Rent</v>
      </c>
      <c r="G20" s="2" t="str">
        <f>G13</f>
        <v>Interest</v>
      </c>
      <c r="H20" s="2" t="str">
        <f>H13</f>
        <v>Business Income</v>
      </c>
      <c r="I20" s="2" t="str">
        <f>I13</f>
        <v>Other Income</v>
      </c>
      <c r="O20" s="2" t="s">
        <v>51</v>
      </c>
      <c r="P20" s="2" t="s">
        <v>50</v>
      </c>
      <c r="Q20" s="2" t="s">
        <v>49</v>
      </c>
      <c r="R20" s="2" t="s">
        <v>48</v>
      </c>
      <c r="S20" s="2" t="s">
        <v>47</v>
      </c>
      <c r="T20" s="2" t="s">
        <v>46</v>
      </c>
      <c r="U20" s="2" t="s">
        <v>45</v>
      </c>
      <c r="AA20" s="2" t="str">
        <f>AA13</f>
        <v>Large Cap</v>
      </c>
      <c r="AB20" s="2" t="str">
        <f>AB13</f>
        <v>Mid Cap</v>
      </c>
      <c r="AC20" s="2" t="str">
        <f>AC13</f>
        <v>Small Cap</v>
      </c>
      <c r="AD20" s="2" t="str">
        <f>AD13</f>
        <v>FD</v>
      </c>
      <c r="AE20" s="2" t="str">
        <f>AE13</f>
        <v>Savings Account</v>
      </c>
    </row>
    <row r="21" spans="1:31" ht="14.25" customHeight="1" x14ac:dyDescent="0.3">
      <c r="A21" s="2" cm="1">
        <f t="array" ref="A21:A55">_xlfn.SEQUENCE([1]Details!C4-[1]Details!C3,1,[1]Details!C3,1)</f>
        <v>20</v>
      </c>
      <c r="B21">
        <v>0.47881104340568281</v>
      </c>
      <c r="C21" s="52">
        <f t="shared" ref="C21:C60" ca="1" si="0">RAND()</f>
        <v>0.92532470716556625</v>
      </c>
      <c r="D21" s="2"/>
      <c r="E21" s="52" cm="1">
        <f t="array" aca="1" ref="E21" ca="1">_xlfn.IFS($C21&lt;$D$14,E$14,
$C21&lt;$D$15,E$15,
$C21&lt;$D$16,E$16)</f>
        <v>0.04</v>
      </c>
      <c r="F21" s="52" cm="1">
        <f t="array" aca="1" ref="F21" ca="1">_xlfn.IFS($C21&lt;$D$14,F$14,
$C21&lt;$D$15,F$15,
$C21&lt;$D$16,F$16)</f>
        <v>0.05</v>
      </c>
      <c r="G21" s="52" cm="1">
        <f t="array" aca="1" ref="G21" ca="1">_xlfn.IFS($C21&lt;$D$14,G$14,
$C21&lt;$D$15,G$15,
$C21&lt;$D$16,G$16)</f>
        <v>0.05</v>
      </c>
      <c r="H21" s="52" cm="1">
        <f t="array" aca="1" ref="H21" ca="1">_xlfn.IFS($C21&lt;$D$14,H$14,
$C21&lt;$D$15,H$15,
$C21&lt;$D$16,H$16)</f>
        <v>0.01</v>
      </c>
      <c r="I21" s="52" cm="1">
        <f t="array" aca="1" ref="I21" ca="1">_xlfn.IFS($C21&lt;$D$14,I$14,
$C21&lt;$D$15,I$15,
$C21&lt;$D$16,I$16)</f>
        <v>0</v>
      </c>
      <c r="J21" s="52"/>
      <c r="L21" s="52"/>
      <c r="M21" s="52"/>
      <c r="N21" s="52"/>
      <c r="O21" s="52" cm="1">
        <f t="array" aca="1" ref="O21" ca="1">_xlfn.IFS($C21&lt;$D$14,O$14,
$C21&lt;$D$15,O$15,
$C21&lt;$D$16,O$16)</f>
        <v>0.08</v>
      </c>
      <c r="P21" s="52" cm="1">
        <f t="array" aca="1" ref="P21" ca="1">_xlfn.IFS($C21&lt;$D$14,P$14,
$C21&lt;$D$15,P$15,
$C21&lt;$D$16,P$16)</f>
        <v>7.0000000000000007E-2</v>
      </c>
      <c r="Q21" s="52" cm="1">
        <f t="array" aca="1" ref="Q21" ca="1">_xlfn.IFS($C21&lt;$D$14,Q$14,
$C21&lt;$D$15,Q$15,
$C21&lt;$D$16,Q$16)</f>
        <v>0.1</v>
      </c>
      <c r="R21" s="52" cm="1">
        <f t="array" aca="1" ref="R21" ca="1">_xlfn.IFS($C21&lt;$D$14,R$14,
$C21&lt;$D$15,R$15,
$C21&lt;$D$16,R$16)</f>
        <v>0.06</v>
      </c>
      <c r="S21" s="52" cm="1">
        <f t="array" aca="1" ref="S21" ca="1">_xlfn.IFS($C21&lt;$D$14,S$14,
$C21&lt;$D$15,S$15,
$C21&lt;$D$16,S$16)</f>
        <v>0.04</v>
      </c>
      <c r="T21" s="52" cm="1">
        <f t="array" aca="1" ref="T21" ca="1">_xlfn.IFS($C21&lt;$D$14,T$14,
$C21&lt;$D$15,T$15,
$C21&lt;$D$16,T$16)</f>
        <v>0.08</v>
      </c>
      <c r="U21" s="52" cm="1">
        <f t="array" aca="1" ref="U21" ca="1">_xlfn.IFS($C21&lt;$D$14,U$14,
$C21&lt;$D$15,U$15,
$C21&lt;$D$16,U$16)</f>
        <v>0</v>
      </c>
      <c r="V21" s="19" cm="1">
        <f t="array" aca="1" ref="V21" ca="1">_xlfn.IFS($C21&lt;$D$14,V$14,
$C21&lt;$D$15,V$15,
$C21&lt;$D$16,V$16)</f>
        <v>30000</v>
      </c>
      <c r="W21" s="52"/>
      <c r="X21" s="52"/>
      <c r="Y21" s="52"/>
      <c r="Z21" s="52"/>
      <c r="AA21" s="52" cm="1">
        <f t="array" aca="1" ref="AA21" ca="1">_xlfn.IFS($C21&lt;$Z$14,AA$14,
$C21&lt;$Z$15,AA$15,
$C21&lt;$Z$16,AA$16)</f>
        <v>0.09</v>
      </c>
      <c r="AB21" s="52" cm="1">
        <f t="array" aca="1" ref="AB21" ca="1">_xlfn.IFS($C21&lt;$Z$14,AB$14,
$C21&lt;$Z$15,AB$15,
$C21&lt;$Z$16,AB$16)</f>
        <v>0.12</v>
      </c>
      <c r="AC21" s="52" cm="1">
        <f t="array" aca="1" ref="AC21" ca="1">_xlfn.IFS($C21&lt;$Z$14,AC$14,
$C21&lt;$Z$15,AC$15,
$C21&lt;$Z$16,AC$16)</f>
        <v>0.14000000000000001</v>
      </c>
      <c r="AD21" s="52" cm="1">
        <f t="array" aca="1" ref="AD21" ca="1">_xlfn.IFS($C21&lt;$Z$14,AD$14,
$C21&lt;$Z$15,AD$15,
$C21&lt;$Z$16,AD$16)</f>
        <v>0.05</v>
      </c>
      <c r="AE21" s="52" cm="1">
        <f t="array" aca="1" ref="AE21" ca="1">_xlfn.IFS($C21&lt;$Z$14,AE$14,
$C21&lt;$Z$15,AE$15,
$C21&lt;$Z$16,AE$16)</f>
        <v>0.03</v>
      </c>
    </row>
    <row r="22" spans="1:31" ht="14.25" customHeight="1" x14ac:dyDescent="0.3">
      <c r="A22" s="2">
        <v>21</v>
      </c>
      <c r="B22">
        <v>2.4462288855390812E-2</v>
      </c>
      <c r="C22" s="52">
        <f t="shared" ca="1" si="0"/>
        <v>0.76031527138824051</v>
      </c>
      <c r="D22" s="2"/>
      <c r="E22" s="52" cm="1">
        <f t="array" aca="1" ref="E22" ca="1">_xlfn.IFS($C22&lt;$D$14,E$14,
$C22&lt;$D$15,E$15,
$C22&lt;$D$16,E$16)</f>
        <v>0.1</v>
      </c>
      <c r="F22" s="52" cm="1">
        <f t="array" aca="1" ref="F22" ca="1">_xlfn.IFS($C22&lt;$D$14,F$14,
$C22&lt;$D$15,F$15,
$C22&lt;$D$16,F$16)</f>
        <v>0.05</v>
      </c>
      <c r="G22" s="52" cm="1">
        <f t="array" aca="1" ref="G22" ca="1">_xlfn.IFS($C22&lt;$D$14,G$14,
$C22&lt;$D$15,G$15,
$C22&lt;$D$16,G$16)</f>
        <v>0.05</v>
      </c>
      <c r="H22" s="52" cm="1">
        <f t="array" aca="1" ref="H22" ca="1">_xlfn.IFS($C22&lt;$D$14,H$14,
$C22&lt;$D$15,H$15,
$C22&lt;$D$16,H$16)</f>
        <v>0.1</v>
      </c>
      <c r="I22" s="52" cm="1">
        <f t="array" aca="1" ref="I22" ca="1">_xlfn.IFS($C22&lt;$D$14,I$14,
$C22&lt;$D$15,I$15,
$C22&lt;$D$16,I$16)</f>
        <v>0</v>
      </c>
      <c r="J22" s="52"/>
      <c r="L22" s="52"/>
      <c r="M22" s="52"/>
      <c r="N22" s="52"/>
      <c r="O22" s="52" cm="1">
        <f t="array" aca="1" ref="O22" ca="1">_xlfn.IFS($C22&lt;$D$14,O$14,
$C22&lt;$D$15,O$15,
$C22&lt;$D$16,O$16)</f>
        <v>0.05</v>
      </c>
      <c r="P22" s="52" cm="1">
        <f t="array" aca="1" ref="P22" ca="1">_xlfn.IFS($C22&lt;$D$14,P$14,
$C22&lt;$D$15,P$15,
$C22&lt;$D$16,P$16)</f>
        <v>0.04</v>
      </c>
      <c r="Q22" s="52" cm="1">
        <f t="array" aca="1" ref="Q22" ca="1">_xlfn.IFS($C22&lt;$D$14,Q$14,
$C22&lt;$D$15,Q$15,
$C22&lt;$D$16,Q$16)</f>
        <v>0.08</v>
      </c>
      <c r="R22" s="52" cm="1">
        <f t="array" aca="1" ref="R22" ca="1">_xlfn.IFS($C22&lt;$D$14,R$14,
$C22&lt;$D$15,R$15,
$C22&lt;$D$16,R$16)</f>
        <v>0.06</v>
      </c>
      <c r="S22" s="52" cm="1">
        <f t="array" aca="1" ref="S22" ca="1">_xlfn.IFS($C22&lt;$D$14,S$14,
$C22&lt;$D$15,S$15,
$C22&lt;$D$16,S$16)</f>
        <v>0.04</v>
      </c>
      <c r="T22" s="52" cm="1">
        <f t="array" aca="1" ref="T22" ca="1">_xlfn.IFS($C22&lt;$D$14,T$14,
$C22&lt;$D$15,T$15,
$C22&lt;$D$16,T$16)</f>
        <v>0.05</v>
      </c>
      <c r="U22" s="52" cm="1">
        <f t="array" aca="1" ref="U22" ca="1">_xlfn.IFS($C22&lt;$D$14,U$14,
$C22&lt;$D$15,U$15,
$C22&lt;$D$16,U$16)</f>
        <v>0</v>
      </c>
      <c r="V22" s="19" cm="1">
        <f t="array" aca="1" ref="V22" ca="1">_xlfn.IFS($C22&lt;$D$14,V$14,
$C22&lt;$D$15,V$15,
$C22&lt;$D$16,V$16)</f>
        <v>10000</v>
      </c>
      <c r="W22" s="52"/>
      <c r="X22" s="52"/>
      <c r="Y22" s="52"/>
      <c r="Z22" s="52"/>
      <c r="AA22" s="52" cm="1">
        <f t="array" aca="1" ref="AA22" ca="1">_xlfn.IFS($C22&lt;$Z$14,AA$14,
$C22&lt;$Z$15,AA$15,
$C22&lt;$Z$16,AA$16)</f>
        <v>0.14000000000000001</v>
      </c>
      <c r="AB22" s="52" cm="1">
        <f t="array" aca="1" ref="AB22" ca="1">_xlfn.IFS($C22&lt;$Z$14,AB$14,
$C22&lt;$Z$15,AB$15,
$C22&lt;$Z$16,AB$16)</f>
        <v>0.16</v>
      </c>
      <c r="AC22" s="52" cm="1">
        <f t="array" aca="1" ref="AC22" ca="1">_xlfn.IFS($C22&lt;$Z$14,AC$14,
$C22&lt;$Z$15,AC$15,
$C22&lt;$Z$16,AC$16)</f>
        <v>0.2</v>
      </c>
      <c r="AD22" s="52" cm="1">
        <f t="array" aca="1" ref="AD22" ca="1">_xlfn.IFS($C22&lt;$Z$14,AD$14,
$C22&lt;$Z$15,AD$15,
$C22&lt;$Z$16,AD$16)</f>
        <v>0.05</v>
      </c>
      <c r="AE22" s="52" cm="1">
        <f t="array" aca="1" ref="AE22" ca="1">_xlfn.IFS($C22&lt;$Z$14,AE$14,
$C22&lt;$Z$15,AE$15,
$C22&lt;$Z$16,AE$16)</f>
        <v>0.03</v>
      </c>
    </row>
    <row r="23" spans="1:31" ht="14.25" customHeight="1" x14ac:dyDescent="0.3">
      <c r="A23" s="2">
        <v>22</v>
      </c>
      <c r="B23">
        <v>0.71732592817226415</v>
      </c>
      <c r="C23" s="52">
        <f t="shared" ca="1" si="0"/>
        <v>0.88287924615344393</v>
      </c>
      <c r="D23" s="2"/>
      <c r="E23" s="52" cm="1">
        <f t="array" aca="1" ref="E23" ca="1">_xlfn.IFS($C23&lt;$D$14,E$14,
$C23&lt;$D$15,E$15,
$C23&lt;$D$16,E$16)</f>
        <v>7.0000000000000007E-2</v>
      </c>
      <c r="F23" s="52" cm="1">
        <f t="array" aca="1" ref="F23" ca="1">_xlfn.IFS($C23&lt;$D$14,F$14,
$C23&lt;$D$15,F$15,
$C23&lt;$D$16,F$16)</f>
        <v>0.05</v>
      </c>
      <c r="G23" s="52" cm="1">
        <f t="array" aca="1" ref="G23" ca="1">_xlfn.IFS($C23&lt;$D$14,G$14,
$C23&lt;$D$15,G$15,
$C23&lt;$D$16,G$16)</f>
        <v>0.05</v>
      </c>
      <c r="H23" s="52" cm="1">
        <f t="array" aca="1" ref="H23" ca="1">_xlfn.IFS($C23&lt;$D$14,H$14,
$C23&lt;$D$15,H$15,
$C23&lt;$D$16,H$16)</f>
        <v>0.05</v>
      </c>
      <c r="I23" s="52" cm="1">
        <f t="array" aca="1" ref="I23" ca="1">_xlfn.IFS($C23&lt;$D$14,I$14,
$C23&lt;$D$15,I$15,
$C23&lt;$D$16,I$16)</f>
        <v>0</v>
      </c>
      <c r="J23" s="52"/>
      <c r="L23" s="52"/>
      <c r="M23" s="52"/>
      <c r="N23" s="52"/>
      <c r="O23" s="52" cm="1">
        <f t="array" aca="1" ref="O23" ca="1">_xlfn.IFS($C23&lt;$D$14,O$14,
$C23&lt;$D$15,O$15,
$C23&lt;$D$16,O$16)</f>
        <v>0.06</v>
      </c>
      <c r="P23" s="52" cm="1">
        <f t="array" aca="1" ref="P23" ca="1">_xlfn.IFS($C23&lt;$D$14,P$14,
$C23&lt;$D$15,P$15,
$C23&lt;$D$16,P$16)</f>
        <v>0.05</v>
      </c>
      <c r="Q23" s="52" cm="1">
        <f t="array" aca="1" ref="Q23" ca="1">_xlfn.IFS($C23&lt;$D$14,Q$14,
$C23&lt;$D$15,Q$15,
$C23&lt;$D$16,Q$16)</f>
        <v>0.05</v>
      </c>
      <c r="R23" s="52" cm="1">
        <f t="array" aca="1" ref="R23" ca="1">_xlfn.IFS($C23&lt;$D$14,R$14,
$C23&lt;$D$15,R$15,
$C23&lt;$D$16,R$16)</f>
        <v>0.06</v>
      </c>
      <c r="S23" s="52" cm="1">
        <f t="array" aca="1" ref="S23" ca="1">_xlfn.IFS($C23&lt;$D$14,S$14,
$C23&lt;$D$15,S$15,
$C23&lt;$D$16,S$16)</f>
        <v>0.04</v>
      </c>
      <c r="T23" s="52" cm="1">
        <f t="array" aca="1" ref="T23" ca="1">_xlfn.IFS($C23&lt;$D$14,T$14,
$C23&lt;$D$15,T$15,
$C23&lt;$D$16,T$16)</f>
        <v>0.04</v>
      </c>
      <c r="U23" s="52" cm="1">
        <f t="array" aca="1" ref="U23" ca="1">_xlfn.IFS($C23&lt;$D$14,U$14,
$C23&lt;$D$15,U$15,
$C23&lt;$D$16,U$16)</f>
        <v>0</v>
      </c>
      <c r="V23" s="19" cm="1">
        <f t="array" aca="1" ref="V23" ca="1">_xlfn.IFS($C23&lt;$D$14,V$14,
$C23&lt;$D$15,V$15,
$C23&lt;$D$16,V$16)</f>
        <v>15000</v>
      </c>
      <c r="W23" s="52"/>
      <c r="X23" s="52"/>
      <c r="Y23" s="52"/>
      <c r="Z23" s="52"/>
      <c r="AA23" s="52" cm="1">
        <f t="array" aca="1" ref="AA23" ca="1">_xlfn.IFS($C23&lt;$Z$14,AA$14,
$C23&lt;$Z$15,AA$15,
$C23&lt;$Z$16,AA$16)</f>
        <v>0.12</v>
      </c>
      <c r="AB23" s="52" cm="1">
        <f t="array" aca="1" ref="AB23" ca="1">_xlfn.IFS($C23&lt;$Z$14,AB$14,
$C23&lt;$Z$15,AB$15,
$C23&lt;$Z$16,AB$16)</f>
        <v>0.14000000000000001</v>
      </c>
      <c r="AC23" s="52" cm="1">
        <f t="array" aca="1" ref="AC23" ca="1">_xlfn.IFS($C23&lt;$Z$14,AC$14,
$C23&lt;$Z$15,AC$15,
$C23&lt;$Z$16,AC$16)</f>
        <v>0.16</v>
      </c>
      <c r="AD23" s="52" cm="1">
        <f t="array" aca="1" ref="AD23" ca="1">_xlfn.IFS($C23&lt;$Z$14,AD$14,
$C23&lt;$Z$15,AD$15,
$C23&lt;$Z$16,AD$16)</f>
        <v>0.05</v>
      </c>
      <c r="AE23" s="52" cm="1">
        <f t="array" aca="1" ref="AE23" ca="1">_xlfn.IFS($C23&lt;$Z$14,AE$14,
$C23&lt;$Z$15,AE$15,
$C23&lt;$Z$16,AE$16)</f>
        <v>0.03</v>
      </c>
    </row>
    <row r="24" spans="1:31" ht="14.25" customHeight="1" x14ac:dyDescent="0.3">
      <c r="A24" s="2">
        <v>23</v>
      </c>
      <c r="B24">
        <v>0.5786585786385553</v>
      </c>
      <c r="C24" s="52">
        <f t="shared" ca="1" si="0"/>
        <v>4.7902913589033647E-2</v>
      </c>
      <c r="D24" s="2"/>
      <c r="E24" s="52" cm="1">
        <f t="array" aca="1" ref="E24" ca="1">_xlfn.IFS($C24&lt;$D$14,E$14,
$C24&lt;$D$15,E$15,
$C24&lt;$D$16,E$16)</f>
        <v>0.1</v>
      </c>
      <c r="F24" s="52" cm="1">
        <f t="array" aca="1" ref="F24" ca="1">_xlfn.IFS($C24&lt;$D$14,F$14,
$C24&lt;$D$15,F$15,
$C24&lt;$D$16,F$16)</f>
        <v>0.05</v>
      </c>
      <c r="G24" s="52" cm="1">
        <f t="array" aca="1" ref="G24" ca="1">_xlfn.IFS($C24&lt;$D$14,G$14,
$C24&lt;$D$15,G$15,
$C24&lt;$D$16,G$16)</f>
        <v>0.05</v>
      </c>
      <c r="H24" s="52" cm="1">
        <f t="array" aca="1" ref="H24" ca="1">_xlfn.IFS($C24&lt;$D$14,H$14,
$C24&lt;$D$15,H$15,
$C24&lt;$D$16,H$16)</f>
        <v>0.1</v>
      </c>
      <c r="I24" s="52" cm="1">
        <f t="array" aca="1" ref="I24" ca="1">_xlfn.IFS($C24&lt;$D$14,I$14,
$C24&lt;$D$15,I$15,
$C24&lt;$D$16,I$16)</f>
        <v>0</v>
      </c>
      <c r="J24" s="52"/>
      <c r="L24" s="52"/>
      <c r="M24" s="52"/>
      <c r="N24" s="52"/>
      <c r="O24" s="52" cm="1">
        <f t="array" aca="1" ref="O24" ca="1">_xlfn.IFS($C24&lt;$D$14,O$14,
$C24&lt;$D$15,O$15,
$C24&lt;$D$16,O$16)</f>
        <v>0.05</v>
      </c>
      <c r="P24" s="52" cm="1">
        <f t="array" aca="1" ref="P24" ca="1">_xlfn.IFS($C24&lt;$D$14,P$14,
$C24&lt;$D$15,P$15,
$C24&lt;$D$16,P$16)</f>
        <v>0.04</v>
      </c>
      <c r="Q24" s="52" cm="1">
        <f t="array" aca="1" ref="Q24" ca="1">_xlfn.IFS($C24&lt;$D$14,Q$14,
$C24&lt;$D$15,Q$15,
$C24&lt;$D$16,Q$16)</f>
        <v>0.08</v>
      </c>
      <c r="R24" s="52" cm="1">
        <f t="array" aca="1" ref="R24" ca="1">_xlfn.IFS($C24&lt;$D$14,R$14,
$C24&lt;$D$15,R$15,
$C24&lt;$D$16,R$16)</f>
        <v>0.06</v>
      </c>
      <c r="S24" s="52" cm="1">
        <f t="array" aca="1" ref="S24" ca="1">_xlfn.IFS($C24&lt;$D$14,S$14,
$C24&lt;$D$15,S$15,
$C24&lt;$D$16,S$16)</f>
        <v>0.04</v>
      </c>
      <c r="T24" s="52" cm="1">
        <f t="array" aca="1" ref="T24" ca="1">_xlfn.IFS($C24&lt;$D$14,T$14,
$C24&lt;$D$15,T$15,
$C24&lt;$D$16,T$16)</f>
        <v>0.05</v>
      </c>
      <c r="U24" s="52" cm="1">
        <f t="array" aca="1" ref="U24" ca="1">_xlfn.IFS($C24&lt;$D$14,U$14,
$C24&lt;$D$15,U$15,
$C24&lt;$D$16,U$16)</f>
        <v>0</v>
      </c>
      <c r="V24" s="19" cm="1">
        <f t="array" aca="1" ref="V24" ca="1">_xlfn.IFS($C24&lt;$D$14,V$14,
$C24&lt;$D$15,V$15,
$C24&lt;$D$16,V$16)</f>
        <v>10000</v>
      </c>
      <c r="W24" s="52"/>
      <c r="X24" s="52"/>
      <c r="Y24" s="52"/>
      <c r="Z24" s="52"/>
      <c r="AA24" s="52" cm="1">
        <f t="array" aca="1" ref="AA24" ca="1">_xlfn.IFS($C24&lt;$Z$14,AA$14,
$C24&lt;$Z$15,AA$15,
$C24&lt;$Z$16,AA$16)</f>
        <v>0.14000000000000001</v>
      </c>
      <c r="AB24" s="52" cm="1">
        <f t="array" aca="1" ref="AB24" ca="1">_xlfn.IFS($C24&lt;$Z$14,AB$14,
$C24&lt;$Z$15,AB$15,
$C24&lt;$Z$16,AB$16)</f>
        <v>0.16</v>
      </c>
      <c r="AC24" s="52" cm="1">
        <f t="array" aca="1" ref="AC24" ca="1">_xlfn.IFS($C24&lt;$Z$14,AC$14,
$C24&lt;$Z$15,AC$15,
$C24&lt;$Z$16,AC$16)</f>
        <v>0.2</v>
      </c>
      <c r="AD24" s="52" cm="1">
        <f t="array" aca="1" ref="AD24" ca="1">_xlfn.IFS($C24&lt;$Z$14,AD$14,
$C24&lt;$Z$15,AD$15,
$C24&lt;$Z$16,AD$16)</f>
        <v>0.05</v>
      </c>
      <c r="AE24" s="52" cm="1">
        <f t="array" aca="1" ref="AE24" ca="1">_xlfn.IFS($C24&lt;$Z$14,AE$14,
$C24&lt;$Z$15,AE$15,
$C24&lt;$Z$16,AE$16)</f>
        <v>0.03</v>
      </c>
    </row>
    <row r="25" spans="1:31" ht="14.25" customHeight="1" x14ac:dyDescent="0.3">
      <c r="A25" s="2">
        <v>24</v>
      </c>
      <c r="B25">
        <v>0.94896112977740488</v>
      </c>
      <c r="C25" s="52">
        <f t="shared" ca="1" si="0"/>
        <v>0.31357844683536862</v>
      </c>
      <c r="D25" s="2"/>
      <c r="E25" s="52" cm="1">
        <f t="array" aca="1" ref="E25" ca="1">_xlfn.IFS($C25&lt;$D$14,E$14,
$C25&lt;$D$15,E$15,
$C25&lt;$D$16,E$16)</f>
        <v>0.1</v>
      </c>
      <c r="F25" s="52" cm="1">
        <f t="array" aca="1" ref="F25" ca="1">_xlfn.IFS($C25&lt;$D$14,F$14,
$C25&lt;$D$15,F$15,
$C25&lt;$D$16,F$16)</f>
        <v>0.05</v>
      </c>
      <c r="G25" s="52" cm="1">
        <f t="array" aca="1" ref="G25" ca="1">_xlfn.IFS($C25&lt;$D$14,G$14,
$C25&lt;$D$15,G$15,
$C25&lt;$D$16,G$16)</f>
        <v>0.05</v>
      </c>
      <c r="H25" s="52" cm="1">
        <f t="array" aca="1" ref="H25" ca="1">_xlfn.IFS($C25&lt;$D$14,H$14,
$C25&lt;$D$15,H$15,
$C25&lt;$D$16,H$16)</f>
        <v>0.1</v>
      </c>
      <c r="I25" s="52" cm="1">
        <f t="array" aca="1" ref="I25" ca="1">_xlfn.IFS($C25&lt;$D$14,I$14,
$C25&lt;$D$15,I$15,
$C25&lt;$D$16,I$16)</f>
        <v>0</v>
      </c>
      <c r="J25" s="52"/>
      <c r="L25" s="52"/>
      <c r="M25" s="52"/>
      <c r="N25" s="52"/>
      <c r="O25" s="52" cm="1">
        <f t="array" aca="1" ref="O25" ca="1">_xlfn.IFS($C25&lt;$D$14,O$14,
$C25&lt;$D$15,O$15,
$C25&lt;$D$16,O$16)</f>
        <v>0.05</v>
      </c>
      <c r="P25" s="52" cm="1">
        <f t="array" aca="1" ref="P25" ca="1">_xlfn.IFS($C25&lt;$D$14,P$14,
$C25&lt;$D$15,P$15,
$C25&lt;$D$16,P$16)</f>
        <v>0.04</v>
      </c>
      <c r="Q25" s="52" cm="1">
        <f t="array" aca="1" ref="Q25" ca="1">_xlfn.IFS($C25&lt;$D$14,Q$14,
$C25&lt;$D$15,Q$15,
$C25&lt;$D$16,Q$16)</f>
        <v>0.08</v>
      </c>
      <c r="R25" s="52" cm="1">
        <f t="array" aca="1" ref="R25" ca="1">_xlfn.IFS($C25&lt;$D$14,R$14,
$C25&lt;$D$15,R$15,
$C25&lt;$D$16,R$16)</f>
        <v>0.06</v>
      </c>
      <c r="S25" s="52" cm="1">
        <f t="array" aca="1" ref="S25" ca="1">_xlfn.IFS($C25&lt;$D$14,S$14,
$C25&lt;$D$15,S$15,
$C25&lt;$D$16,S$16)</f>
        <v>0.04</v>
      </c>
      <c r="T25" s="52" cm="1">
        <f t="array" aca="1" ref="T25" ca="1">_xlfn.IFS($C25&lt;$D$14,T$14,
$C25&lt;$D$15,T$15,
$C25&lt;$D$16,T$16)</f>
        <v>0.05</v>
      </c>
      <c r="U25" s="52" cm="1">
        <f t="array" aca="1" ref="U25" ca="1">_xlfn.IFS($C25&lt;$D$14,U$14,
$C25&lt;$D$15,U$15,
$C25&lt;$D$16,U$16)</f>
        <v>0</v>
      </c>
      <c r="V25" s="19" cm="1">
        <f t="array" aca="1" ref="V25" ca="1">_xlfn.IFS($C25&lt;$D$14,V$14,
$C25&lt;$D$15,V$15,
$C25&lt;$D$16,V$16)</f>
        <v>10000</v>
      </c>
      <c r="W25" s="52"/>
      <c r="X25" s="52"/>
      <c r="Y25" s="52"/>
      <c r="Z25" s="52"/>
      <c r="AA25" s="52" cm="1">
        <f t="array" aca="1" ref="AA25" ca="1">_xlfn.IFS($C25&lt;$Z$14,AA$14,
$C25&lt;$Z$15,AA$15,
$C25&lt;$Z$16,AA$16)</f>
        <v>0.14000000000000001</v>
      </c>
      <c r="AB25" s="52" cm="1">
        <f t="array" aca="1" ref="AB25" ca="1">_xlfn.IFS($C25&lt;$Z$14,AB$14,
$C25&lt;$Z$15,AB$15,
$C25&lt;$Z$16,AB$16)</f>
        <v>0.16</v>
      </c>
      <c r="AC25" s="52" cm="1">
        <f t="array" aca="1" ref="AC25" ca="1">_xlfn.IFS($C25&lt;$Z$14,AC$14,
$C25&lt;$Z$15,AC$15,
$C25&lt;$Z$16,AC$16)</f>
        <v>0.2</v>
      </c>
      <c r="AD25" s="52" cm="1">
        <f t="array" aca="1" ref="AD25" ca="1">_xlfn.IFS($C25&lt;$Z$14,AD$14,
$C25&lt;$Z$15,AD$15,
$C25&lt;$Z$16,AD$16)</f>
        <v>0.05</v>
      </c>
      <c r="AE25" s="52" cm="1">
        <f t="array" aca="1" ref="AE25" ca="1">_xlfn.IFS($C25&lt;$Z$14,AE$14,
$C25&lt;$Z$15,AE$15,
$C25&lt;$Z$16,AE$16)</f>
        <v>0.03</v>
      </c>
    </row>
    <row r="26" spans="1:31" ht="14.25" customHeight="1" x14ac:dyDescent="0.3">
      <c r="A26" s="2">
        <v>25</v>
      </c>
      <c r="B26">
        <v>0.36965763734392687</v>
      </c>
      <c r="C26" s="52">
        <f t="shared" ca="1" si="0"/>
        <v>0.97183117702726352</v>
      </c>
      <c r="D26" s="2"/>
      <c r="E26" s="52" cm="1">
        <f t="array" aca="1" ref="E26" ca="1">_xlfn.IFS($C26&lt;$D$14,E$14,
$C26&lt;$D$15,E$15,
$C26&lt;$D$16,E$16)</f>
        <v>0.04</v>
      </c>
      <c r="F26" s="52" cm="1">
        <f t="array" aca="1" ref="F26" ca="1">_xlfn.IFS($C26&lt;$D$14,F$14,
$C26&lt;$D$15,F$15,
$C26&lt;$D$16,F$16)</f>
        <v>0.05</v>
      </c>
      <c r="G26" s="52" cm="1">
        <f t="array" aca="1" ref="G26" ca="1">_xlfn.IFS($C26&lt;$D$14,G$14,
$C26&lt;$D$15,G$15,
$C26&lt;$D$16,G$16)</f>
        <v>0.05</v>
      </c>
      <c r="H26" s="52" cm="1">
        <f t="array" aca="1" ref="H26" ca="1">_xlfn.IFS($C26&lt;$D$14,H$14,
$C26&lt;$D$15,H$15,
$C26&lt;$D$16,H$16)</f>
        <v>0.01</v>
      </c>
      <c r="I26" s="52" cm="1">
        <f t="array" aca="1" ref="I26" ca="1">_xlfn.IFS($C26&lt;$D$14,I$14,
$C26&lt;$D$15,I$15,
$C26&lt;$D$16,I$16)</f>
        <v>0</v>
      </c>
      <c r="J26" s="52"/>
      <c r="L26" s="52"/>
      <c r="M26" s="52"/>
      <c r="N26" s="52"/>
      <c r="O26" s="52" cm="1">
        <f t="array" aca="1" ref="O26" ca="1">_xlfn.IFS($C26&lt;$D$14,O$14,
$C26&lt;$D$15,O$15,
$C26&lt;$D$16,O$16)</f>
        <v>0.08</v>
      </c>
      <c r="P26" s="52" cm="1">
        <f t="array" aca="1" ref="P26" ca="1">_xlfn.IFS($C26&lt;$D$14,P$14,
$C26&lt;$D$15,P$15,
$C26&lt;$D$16,P$16)</f>
        <v>7.0000000000000007E-2</v>
      </c>
      <c r="Q26" s="52" cm="1">
        <f t="array" aca="1" ref="Q26" ca="1">_xlfn.IFS($C26&lt;$D$14,Q$14,
$C26&lt;$D$15,Q$15,
$C26&lt;$D$16,Q$16)</f>
        <v>0.1</v>
      </c>
      <c r="R26" s="52" cm="1">
        <f t="array" aca="1" ref="R26" ca="1">_xlfn.IFS($C26&lt;$D$14,R$14,
$C26&lt;$D$15,R$15,
$C26&lt;$D$16,R$16)</f>
        <v>0.06</v>
      </c>
      <c r="S26" s="52" cm="1">
        <f t="array" aca="1" ref="S26" ca="1">_xlfn.IFS($C26&lt;$D$14,S$14,
$C26&lt;$D$15,S$15,
$C26&lt;$D$16,S$16)</f>
        <v>0.04</v>
      </c>
      <c r="T26" s="52" cm="1">
        <f t="array" aca="1" ref="T26" ca="1">_xlfn.IFS($C26&lt;$D$14,T$14,
$C26&lt;$D$15,T$15,
$C26&lt;$D$16,T$16)</f>
        <v>0.08</v>
      </c>
      <c r="U26" s="52" cm="1">
        <f t="array" aca="1" ref="U26" ca="1">_xlfn.IFS($C26&lt;$D$14,U$14,
$C26&lt;$D$15,U$15,
$C26&lt;$D$16,U$16)</f>
        <v>0</v>
      </c>
      <c r="V26" s="19" cm="1">
        <f t="array" aca="1" ref="V26" ca="1">_xlfn.IFS($C26&lt;$D$14,V$14,
$C26&lt;$D$15,V$15,
$C26&lt;$D$16,V$16)</f>
        <v>30000</v>
      </c>
      <c r="W26" s="52"/>
      <c r="X26" s="52"/>
      <c r="Y26" s="52"/>
      <c r="Z26" s="52"/>
      <c r="AA26" s="52" cm="1">
        <f t="array" aca="1" ref="AA26" ca="1">_xlfn.IFS($C26&lt;$Z$14,AA$14,
$C26&lt;$Z$15,AA$15,
$C26&lt;$Z$16,AA$16)</f>
        <v>0.09</v>
      </c>
      <c r="AB26" s="52" cm="1">
        <f t="array" aca="1" ref="AB26" ca="1">_xlfn.IFS($C26&lt;$Z$14,AB$14,
$C26&lt;$Z$15,AB$15,
$C26&lt;$Z$16,AB$16)</f>
        <v>0.12</v>
      </c>
      <c r="AC26" s="52" cm="1">
        <f t="array" aca="1" ref="AC26" ca="1">_xlfn.IFS($C26&lt;$Z$14,AC$14,
$C26&lt;$Z$15,AC$15,
$C26&lt;$Z$16,AC$16)</f>
        <v>0.14000000000000001</v>
      </c>
      <c r="AD26" s="52" cm="1">
        <f t="array" aca="1" ref="AD26" ca="1">_xlfn.IFS($C26&lt;$Z$14,AD$14,
$C26&lt;$Z$15,AD$15,
$C26&lt;$Z$16,AD$16)</f>
        <v>0.05</v>
      </c>
      <c r="AE26" s="52" cm="1">
        <f t="array" aca="1" ref="AE26" ca="1">_xlfn.IFS($C26&lt;$Z$14,AE$14,
$C26&lt;$Z$15,AE$15,
$C26&lt;$Z$16,AE$16)</f>
        <v>0.03</v>
      </c>
    </row>
    <row r="27" spans="1:31" ht="14.25" customHeight="1" x14ac:dyDescent="0.3">
      <c r="A27" s="2">
        <v>26</v>
      </c>
      <c r="B27">
        <v>0.7776207401826073</v>
      </c>
      <c r="C27" s="52">
        <f t="shared" ca="1" si="0"/>
        <v>0.40933402204552471</v>
      </c>
      <c r="D27" s="2"/>
      <c r="E27" s="52" cm="1">
        <f t="array" aca="1" ref="E27" ca="1">_xlfn.IFS($C27&lt;$D$14,E$14,
$C27&lt;$D$15,E$15,
$C27&lt;$D$16,E$16)</f>
        <v>0.1</v>
      </c>
      <c r="F27" s="52" cm="1">
        <f t="array" aca="1" ref="F27" ca="1">_xlfn.IFS($C27&lt;$D$14,F$14,
$C27&lt;$D$15,F$15,
$C27&lt;$D$16,F$16)</f>
        <v>0.05</v>
      </c>
      <c r="G27" s="52" cm="1">
        <f t="array" aca="1" ref="G27" ca="1">_xlfn.IFS($C27&lt;$D$14,G$14,
$C27&lt;$D$15,G$15,
$C27&lt;$D$16,G$16)</f>
        <v>0.05</v>
      </c>
      <c r="H27" s="52" cm="1">
        <f t="array" aca="1" ref="H27" ca="1">_xlfn.IFS($C27&lt;$D$14,H$14,
$C27&lt;$D$15,H$15,
$C27&lt;$D$16,H$16)</f>
        <v>0.1</v>
      </c>
      <c r="I27" s="52" cm="1">
        <f t="array" aca="1" ref="I27" ca="1">_xlfn.IFS($C27&lt;$D$14,I$14,
$C27&lt;$D$15,I$15,
$C27&lt;$D$16,I$16)</f>
        <v>0</v>
      </c>
      <c r="J27" s="52"/>
      <c r="L27" s="52"/>
      <c r="M27" s="52"/>
      <c r="N27" s="52"/>
      <c r="O27" s="52" cm="1">
        <f t="array" aca="1" ref="O27" ca="1">_xlfn.IFS($C27&lt;$D$14,O$14,
$C27&lt;$D$15,O$15,
$C27&lt;$D$16,O$16)</f>
        <v>0.05</v>
      </c>
      <c r="P27" s="52" cm="1">
        <f t="array" aca="1" ref="P27" ca="1">_xlfn.IFS($C27&lt;$D$14,P$14,
$C27&lt;$D$15,P$15,
$C27&lt;$D$16,P$16)</f>
        <v>0.04</v>
      </c>
      <c r="Q27" s="52" cm="1">
        <f t="array" aca="1" ref="Q27" ca="1">_xlfn.IFS($C27&lt;$D$14,Q$14,
$C27&lt;$D$15,Q$15,
$C27&lt;$D$16,Q$16)</f>
        <v>0.08</v>
      </c>
      <c r="R27" s="52" cm="1">
        <f t="array" aca="1" ref="R27" ca="1">_xlfn.IFS($C27&lt;$D$14,R$14,
$C27&lt;$D$15,R$15,
$C27&lt;$D$16,R$16)</f>
        <v>0.06</v>
      </c>
      <c r="S27" s="52" cm="1">
        <f t="array" aca="1" ref="S27" ca="1">_xlfn.IFS($C27&lt;$D$14,S$14,
$C27&lt;$D$15,S$15,
$C27&lt;$D$16,S$16)</f>
        <v>0.04</v>
      </c>
      <c r="T27" s="52" cm="1">
        <f t="array" aca="1" ref="T27" ca="1">_xlfn.IFS($C27&lt;$D$14,T$14,
$C27&lt;$D$15,T$15,
$C27&lt;$D$16,T$16)</f>
        <v>0.05</v>
      </c>
      <c r="U27" s="52" cm="1">
        <f t="array" aca="1" ref="U27" ca="1">_xlfn.IFS($C27&lt;$D$14,U$14,
$C27&lt;$D$15,U$15,
$C27&lt;$D$16,U$16)</f>
        <v>0</v>
      </c>
      <c r="V27" s="19" cm="1">
        <f t="array" aca="1" ref="V27" ca="1">_xlfn.IFS($C27&lt;$D$14,V$14,
$C27&lt;$D$15,V$15,
$C27&lt;$D$16,V$16)</f>
        <v>10000</v>
      </c>
      <c r="W27" s="52"/>
      <c r="X27" s="52"/>
      <c r="Y27" s="52"/>
      <c r="Z27" s="52"/>
      <c r="AA27" s="52" cm="1">
        <f t="array" aca="1" ref="AA27" ca="1">_xlfn.IFS($C27&lt;$Z$14,AA$14,
$C27&lt;$Z$15,AA$15,
$C27&lt;$Z$16,AA$16)</f>
        <v>0.14000000000000001</v>
      </c>
      <c r="AB27" s="52" cm="1">
        <f t="array" aca="1" ref="AB27" ca="1">_xlfn.IFS($C27&lt;$Z$14,AB$14,
$C27&lt;$Z$15,AB$15,
$C27&lt;$Z$16,AB$16)</f>
        <v>0.16</v>
      </c>
      <c r="AC27" s="52" cm="1">
        <f t="array" aca="1" ref="AC27" ca="1">_xlfn.IFS($C27&lt;$Z$14,AC$14,
$C27&lt;$Z$15,AC$15,
$C27&lt;$Z$16,AC$16)</f>
        <v>0.2</v>
      </c>
      <c r="AD27" s="52" cm="1">
        <f t="array" aca="1" ref="AD27" ca="1">_xlfn.IFS($C27&lt;$Z$14,AD$14,
$C27&lt;$Z$15,AD$15,
$C27&lt;$Z$16,AD$16)</f>
        <v>0.05</v>
      </c>
      <c r="AE27" s="52" cm="1">
        <f t="array" aca="1" ref="AE27" ca="1">_xlfn.IFS($C27&lt;$Z$14,AE$14,
$C27&lt;$Z$15,AE$15,
$C27&lt;$Z$16,AE$16)</f>
        <v>0.03</v>
      </c>
    </row>
    <row r="28" spans="1:31" ht="14.25" customHeight="1" x14ac:dyDescent="0.3">
      <c r="A28" s="2">
        <v>27</v>
      </c>
      <c r="B28">
        <v>2.2391028883251951E-2</v>
      </c>
      <c r="C28" s="52">
        <f t="shared" ca="1" si="0"/>
        <v>0.72790364024293197</v>
      </c>
      <c r="D28" s="2"/>
      <c r="E28" s="52" cm="1">
        <f t="array" aca="1" ref="E28" ca="1">_xlfn.IFS($C28&lt;$D$14,E$14,
$C28&lt;$D$15,E$15,
$C28&lt;$D$16,E$16)</f>
        <v>0.1</v>
      </c>
      <c r="F28" s="52" cm="1">
        <f t="array" aca="1" ref="F28" ca="1">_xlfn.IFS($C28&lt;$D$14,F$14,
$C28&lt;$D$15,F$15,
$C28&lt;$D$16,F$16)</f>
        <v>0.05</v>
      </c>
      <c r="G28" s="52" cm="1">
        <f t="array" aca="1" ref="G28" ca="1">_xlfn.IFS($C28&lt;$D$14,G$14,
$C28&lt;$D$15,G$15,
$C28&lt;$D$16,G$16)</f>
        <v>0.05</v>
      </c>
      <c r="H28" s="52" cm="1">
        <f t="array" aca="1" ref="H28" ca="1">_xlfn.IFS($C28&lt;$D$14,H$14,
$C28&lt;$D$15,H$15,
$C28&lt;$D$16,H$16)</f>
        <v>0.1</v>
      </c>
      <c r="I28" s="52" cm="1">
        <f t="array" aca="1" ref="I28" ca="1">_xlfn.IFS($C28&lt;$D$14,I$14,
$C28&lt;$D$15,I$15,
$C28&lt;$D$16,I$16)</f>
        <v>0</v>
      </c>
      <c r="J28" s="52"/>
      <c r="L28" s="52"/>
      <c r="M28" s="52"/>
      <c r="N28" s="52"/>
      <c r="O28" s="52" cm="1">
        <f t="array" aca="1" ref="O28" ca="1">_xlfn.IFS($C28&lt;$D$14,O$14,
$C28&lt;$D$15,O$15,
$C28&lt;$D$16,O$16)</f>
        <v>0.05</v>
      </c>
      <c r="P28" s="52" cm="1">
        <f t="array" aca="1" ref="P28" ca="1">_xlfn.IFS($C28&lt;$D$14,P$14,
$C28&lt;$D$15,P$15,
$C28&lt;$D$16,P$16)</f>
        <v>0.04</v>
      </c>
      <c r="Q28" s="52" cm="1">
        <f t="array" aca="1" ref="Q28" ca="1">_xlfn.IFS($C28&lt;$D$14,Q$14,
$C28&lt;$D$15,Q$15,
$C28&lt;$D$16,Q$16)</f>
        <v>0.08</v>
      </c>
      <c r="R28" s="52" cm="1">
        <f t="array" aca="1" ref="R28" ca="1">_xlfn.IFS($C28&lt;$D$14,R$14,
$C28&lt;$D$15,R$15,
$C28&lt;$D$16,R$16)</f>
        <v>0.06</v>
      </c>
      <c r="S28" s="52" cm="1">
        <f t="array" aca="1" ref="S28" ca="1">_xlfn.IFS($C28&lt;$D$14,S$14,
$C28&lt;$D$15,S$15,
$C28&lt;$D$16,S$16)</f>
        <v>0.04</v>
      </c>
      <c r="T28" s="52" cm="1">
        <f t="array" aca="1" ref="T28" ca="1">_xlfn.IFS($C28&lt;$D$14,T$14,
$C28&lt;$D$15,T$15,
$C28&lt;$D$16,T$16)</f>
        <v>0.05</v>
      </c>
      <c r="U28" s="52" cm="1">
        <f t="array" aca="1" ref="U28" ca="1">_xlfn.IFS($C28&lt;$D$14,U$14,
$C28&lt;$D$15,U$15,
$C28&lt;$D$16,U$16)</f>
        <v>0</v>
      </c>
      <c r="V28" s="19" cm="1">
        <f t="array" aca="1" ref="V28" ca="1">_xlfn.IFS($C28&lt;$D$14,V$14,
$C28&lt;$D$15,V$15,
$C28&lt;$D$16,V$16)</f>
        <v>10000</v>
      </c>
      <c r="W28" s="52"/>
      <c r="X28" s="52"/>
      <c r="Y28" s="52"/>
      <c r="Z28" s="52"/>
      <c r="AA28" s="52" cm="1">
        <f t="array" aca="1" ref="AA28" ca="1">_xlfn.IFS($C28&lt;$Z$14,AA$14,
$C28&lt;$Z$15,AA$15,
$C28&lt;$Z$16,AA$16)</f>
        <v>0.14000000000000001</v>
      </c>
      <c r="AB28" s="52" cm="1">
        <f t="array" aca="1" ref="AB28" ca="1">_xlfn.IFS($C28&lt;$Z$14,AB$14,
$C28&lt;$Z$15,AB$15,
$C28&lt;$Z$16,AB$16)</f>
        <v>0.16</v>
      </c>
      <c r="AC28" s="52" cm="1">
        <f t="array" aca="1" ref="AC28" ca="1">_xlfn.IFS($C28&lt;$Z$14,AC$14,
$C28&lt;$Z$15,AC$15,
$C28&lt;$Z$16,AC$16)</f>
        <v>0.2</v>
      </c>
      <c r="AD28" s="52" cm="1">
        <f t="array" aca="1" ref="AD28" ca="1">_xlfn.IFS($C28&lt;$Z$14,AD$14,
$C28&lt;$Z$15,AD$15,
$C28&lt;$Z$16,AD$16)</f>
        <v>0.05</v>
      </c>
      <c r="AE28" s="52" cm="1">
        <f t="array" aca="1" ref="AE28" ca="1">_xlfn.IFS($C28&lt;$Z$14,AE$14,
$C28&lt;$Z$15,AE$15,
$C28&lt;$Z$16,AE$16)</f>
        <v>0.03</v>
      </c>
    </row>
    <row r="29" spans="1:31" ht="14.25" customHeight="1" x14ac:dyDescent="0.3">
      <c r="A29" s="2">
        <v>28</v>
      </c>
      <c r="B29">
        <v>0.60634937240955178</v>
      </c>
      <c r="C29" s="52">
        <f t="shared" ca="1" si="0"/>
        <v>0.674317075021166</v>
      </c>
      <c r="D29" s="2"/>
      <c r="E29" s="52" cm="1">
        <f t="array" aca="1" ref="E29" ca="1">_xlfn.IFS($C29&lt;$D$14,E$14,
$C29&lt;$D$15,E$15,
$C29&lt;$D$16,E$16)</f>
        <v>0.1</v>
      </c>
      <c r="F29" s="52" cm="1">
        <f t="array" aca="1" ref="F29" ca="1">_xlfn.IFS($C29&lt;$D$14,F$14,
$C29&lt;$D$15,F$15,
$C29&lt;$D$16,F$16)</f>
        <v>0.05</v>
      </c>
      <c r="G29" s="52" cm="1">
        <f t="array" aca="1" ref="G29" ca="1">_xlfn.IFS($C29&lt;$D$14,G$14,
$C29&lt;$D$15,G$15,
$C29&lt;$D$16,G$16)</f>
        <v>0.05</v>
      </c>
      <c r="H29" s="52" cm="1">
        <f t="array" aca="1" ref="H29" ca="1">_xlfn.IFS($C29&lt;$D$14,H$14,
$C29&lt;$D$15,H$15,
$C29&lt;$D$16,H$16)</f>
        <v>0.1</v>
      </c>
      <c r="I29" s="52" cm="1">
        <f t="array" aca="1" ref="I29" ca="1">_xlfn.IFS($C29&lt;$D$14,I$14,
$C29&lt;$D$15,I$15,
$C29&lt;$D$16,I$16)</f>
        <v>0</v>
      </c>
      <c r="J29" s="52"/>
      <c r="L29" s="52"/>
      <c r="M29" s="52"/>
      <c r="N29" s="52"/>
      <c r="O29" s="52" cm="1">
        <f t="array" aca="1" ref="O29" ca="1">_xlfn.IFS($C29&lt;$D$14,O$14,
$C29&lt;$D$15,O$15,
$C29&lt;$D$16,O$16)</f>
        <v>0.05</v>
      </c>
      <c r="P29" s="52" cm="1">
        <f t="array" aca="1" ref="P29" ca="1">_xlfn.IFS($C29&lt;$D$14,P$14,
$C29&lt;$D$15,P$15,
$C29&lt;$D$16,P$16)</f>
        <v>0.04</v>
      </c>
      <c r="Q29" s="52" cm="1">
        <f t="array" aca="1" ref="Q29" ca="1">_xlfn.IFS($C29&lt;$D$14,Q$14,
$C29&lt;$D$15,Q$15,
$C29&lt;$D$16,Q$16)</f>
        <v>0.08</v>
      </c>
      <c r="R29" s="52" cm="1">
        <f t="array" aca="1" ref="R29" ca="1">_xlfn.IFS($C29&lt;$D$14,R$14,
$C29&lt;$D$15,R$15,
$C29&lt;$D$16,R$16)</f>
        <v>0.06</v>
      </c>
      <c r="S29" s="52" cm="1">
        <f t="array" aca="1" ref="S29" ca="1">_xlfn.IFS($C29&lt;$D$14,S$14,
$C29&lt;$D$15,S$15,
$C29&lt;$D$16,S$16)</f>
        <v>0.04</v>
      </c>
      <c r="T29" s="52" cm="1">
        <f t="array" aca="1" ref="T29" ca="1">_xlfn.IFS($C29&lt;$D$14,T$14,
$C29&lt;$D$15,T$15,
$C29&lt;$D$16,T$16)</f>
        <v>0.05</v>
      </c>
      <c r="U29" s="52" cm="1">
        <f t="array" aca="1" ref="U29" ca="1">_xlfn.IFS($C29&lt;$D$14,U$14,
$C29&lt;$D$15,U$15,
$C29&lt;$D$16,U$16)</f>
        <v>0</v>
      </c>
      <c r="V29" s="19" cm="1">
        <f t="array" aca="1" ref="V29" ca="1">_xlfn.IFS($C29&lt;$D$14,V$14,
$C29&lt;$D$15,V$15,
$C29&lt;$D$16,V$16)</f>
        <v>10000</v>
      </c>
      <c r="W29" s="52"/>
      <c r="X29" s="52"/>
      <c r="Y29" s="52"/>
      <c r="Z29" s="52"/>
      <c r="AA29" s="52" cm="1">
        <f t="array" aca="1" ref="AA29" ca="1">_xlfn.IFS($C29&lt;$Z$14,AA$14,
$C29&lt;$Z$15,AA$15,
$C29&lt;$Z$16,AA$16)</f>
        <v>0.14000000000000001</v>
      </c>
      <c r="AB29" s="52" cm="1">
        <f t="array" aca="1" ref="AB29" ca="1">_xlfn.IFS($C29&lt;$Z$14,AB$14,
$C29&lt;$Z$15,AB$15,
$C29&lt;$Z$16,AB$16)</f>
        <v>0.16</v>
      </c>
      <c r="AC29" s="52" cm="1">
        <f t="array" aca="1" ref="AC29" ca="1">_xlfn.IFS($C29&lt;$Z$14,AC$14,
$C29&lt;$Z$15,AC$15,
$C29&lt;$Z$16,AC$16)</f>
        <v>0.2</v>
      </c>
      <c r="AD29" s="52" cm="1">
        <f t="array" aca="1" ref="AD29" ca="1">_xlfn.IFS($C29&lt;$Z$14,AD$14,
$C29&lt;$Z$15,AD$15,
$C29&lt;$Z$16,AD$16)</f>
        <v>0.05</v>
      </c>
      <c r="AE29" s="52" cm="1">
        <f t="array" aca="1" ref="AE29" ca="1">_xlfn.IFS($C29&lt;$Z$14,AE$14,
$C29&lt;$Z$15,AE$15,
$C29&lt;$Z$16,AE$16)</f>
        <v>0.03</v>
      </c>
    </row>
    <row r="30" spans="1:31" ht="14.25" customHeight="1" x14ac:dyDescent="0.3">
      <c r="A30" s="2">
        <v>29</v>
      </c>
      <c r="B30">
        <v>0.46050695467085823</v>
      </c>
      <c r="C30" s="52">
        <f t="shared" ca="1" si="0"/>
        <v>0.70938431701495619</v>
      </c>
      <c r="D30" s="2"/>
      <c r="E30" s="52" cm="1">
        <f t="array" aca="1" ref="E30" ca="1">_xlfn.IFS($C30&lt;$D$14,E$14,
$C30&lt;$D$15,E$15,
$C30&lt;$D$16,E$16)</f>
        <v>0.1</v>
      </c>
      <c r="F30" s="52" cm="1">
        <f t="array" aca="1" ref="F30" ca="1">_xlfn.IFS($C30&lt;$D$14,F$14,
$C30&lt;$D$15,F$15,
$C30&lt;$D$16,F$16)</f>
        <v>0.05</v>
      </c>
      <c r="G30" s="52" cm="1">
        <f t="array" aca="1" ref="G30" ca="1">_xlfn.IFS($C30&lt;$D$14,G$14,
$C30&lt;$D$15,G$15,
$C30&lt;$D$16,G$16)</f>
        <v>0.05</v>
      </c>
      <c r="H30" s="52" cm="1">
        <f t="array" aca="1" ref="H30" ca="1">_xlfn.IFS($C30&lt;$D$14,H$14,
$C30&lt;$D$15,H$15,
$C30&lt;$D$16,H$16)</f>
        <v>0.1</v>
      </c>
      <c r="I30" s="52" cm="1">
        <f t="array" aca="1" ref="I30" ca="1">_xlfn.IFS($C30&lt;$D$14,I$14,
$C30&lt;$D$15,I$15,
$C30&lt;$D$16,I$16)</f>
        <v>0</v>
      </c>
      <c r="J30" s="52"/>
      <c r="L30" s="52"/>
      <c r="M30" s="52"/>
      <c r="N30" s="52"/>
      <c r="O30" s="52" cm="1">
        <f t="array" aca="1" ref="O30" ca="1">_xlfn.IFS($C30&lt;$D$14,O$14,
$C30&lt;$D$15,O$15,
$C30&lt;$D$16,O$16)</f>
        <v>0.05</v>
      </c>
      <c r="P30" s="52" cm="1">
        <f t="array" aca="1" ref="P30" ca="1">_xlfn.IFS($C30&lt;$D$14,P$14,
$C30&lt;$D$15,P$15,
$C30&lt;$D$16,P$16)</f>
        <v>0.04</v>
      </c>
      <c r="Q30" s="52" cm="1">
        <f t="array" aca="1" ref="Q30" ca="1">_xlfn.IFS($C30&lt;$D$14,Q$14,
$C30&lt;$D$15,Q$15,
$C30&lt;$D$16,Q$16)</f>
        <v>0.08</v>
      </c>
      <c r="R30" s="52" cm="1">
        <f t="array" aca="1" ref="R30" ca="1">_xlfn.IFS($C30&lt;$D$14,R$14,
$C30&lt;$D$15,R$15,
$C30&lt;$D$16,R$16)</f>
        <v>0.06</v>
      </c>
      <c r="S30" s="52" cm="1">
        <f t="array" aca="1" ref="S30" ca="1">_xlfn.IFS($C30&lt;$D$14,S$14,
$C30&lt;$D$15,S$15,
$C30&lt;$D$16,S$16)</f>
        <v>0.04</v>
      </c>
      <c r="T30" s="52" cm="1">
        <f t="array" aca="1" ref="T30" ca="1">_xlfn.IFS($C30&lt;$D$14,T$14,
$C30&lt;$D$15,T$15,
$C30&lt;$D$16,T$16)</f>
        <v>0.05</v>
      </c>
      <c r="U30" s="52" cm="1">
        <f t="array" aca="1" ref="U30" ca="1">_xlfn.IFS($C30&lt;$D$14,U$14,
$C30&lt;$D$15,U$15,
$C30&lt;$D$16,U$16)</f>
        <v>0</v>
      </c>
      <c r="V30" s="19" cm="1">
        <f t="array" aca="1" ref="V30" ca="1">_xlfn.IFS($C30&lt;$D$14,V$14,
$C30&lt;$D$15,V$15,
$C30&lt;$D$16,V$16)</f>
        <v>10000</v>
      </c>
      <c r="W30" s="52"/>
      <c r="X30" s="52"/>
      <c r="Y30" s="52"/>
      <c r="Z30" s="52"/>
      <c r="AA30" s="52" cm="1">
        <f t="array" aca="1" ref="AA30" ca="1">_xlfn.IFS($C30&lt;$Z$14,AA$14,
$C30&lt;$Z$15,AA$15,
$C30&lt;$Z$16,AA$16)</f>
        <v>0.14000000000000001</v>
      </c>
      <c r="AB30" s="52" cm="1">
        <f t="array" aca="1" ref="AB30" ca="1">_xlfn.IFS($C30&lt;$Z$14,AB$14,
$C30&lt;$Z$15,AB$15,
$C30&lt;$Z$16,AB$16)</f>
        <v>0.16</v>
      </c>
      <c r="AC30" s="52" cm="1">
        <f t="array" aca="1" ref="AC30" ca="1">_xlfn.IFS($C30&lt;$Z$14,AC$14,
$C30&lt;$Z$15,AC$15,
$C30&lt;$Z$16,AC$16)</f>
        <v>0.2</v>
      </c>
      <c r="AD30" s="52" cm="1">
        <f t="array" aca="1" ref="AD30" ca="1">_xlfn.IFS($C30&lt;$Z$14,AD$14,
$C30&lt;$Z$15,AD$15,
$C30&lt;$Z$16,AD$16)</f>
        <v>0.05</v>
      </c>
      <c r="AE30" s="52" cm="1">
        <f t="array" aca="1" ref="AE30" ca="1">_xlfn.IFS($C30&lt;$Z$14,AE$14,
$C30&lt;$Z$15,AE$15,
$C30&lt;$Z$16,AE$16)</f>
        <v>0.03</v>
      </c>
    </row>
    <row r="31" spans="1:31" ht="14.25" customHeight="1" x14ac:dyDescent="0.3">
      <c r="A31" s="2">
        <v>30</v>
      </c>
      <c r="B31">
        <v>0.60175563271737709</v>
      </c>
      <c r="C31" s="52">
        <f t="shared" ca="1" si="0"/>
        <v>0.87310293966025354</v>
      </c>
      <c r="D31" s="2"/>
      <c r="E31" s="52" cm="1">
        <f t="array" aca="1" ref="E31" ca="1">_xlfn.IFS($C31&lt;$D$14,E$14,
$C31&lt;$D$15,E$15,
$C31&lt;$D$16,E$16)</f>
        <v>7.0000000000000007E-2</v>
      </c>
      <c r="F31" s="52" cm="1">
        <f t="array" aca="1" ref="F31" ca="1">_xlfn.IFS($C31&lt;$D$14,F$14,
$C31&lt;$D$15,F$15,
$C31&lt;$D$16,F$16)</f>
        <v>0.05</v>
      </c>
      <c r="G31" s="52" cm="1">
        <f t="array" aca="1" ref="G31" ca="1">_xlfn.IFS($C31&lt;$D$14,G$14,
$C31&lt;$D$15,G$15,
$C31&lt;$D$16,G$16)</f>
        <v>0.05</v>
      </c>
      <c r="H31" s="52" cm="1">
        <f t="array" aca="1" ref="H31" ca="1">_xlfn.IFS($C31&lt;$D$14,H$14,
$C31&lt;$D$15,H$15,
$C31&lt;$D$16,H$16)</f>
        <v>0.05</v>
      </c>
      <c r="I31" s="52" cm="1">
        <f t="array" aca="1" ref="I31" ca="1">_xlfn.IFS($C31&lt;$D$14,I$14,
$C31&lt;$D$15,I$15,
$C31&lt;$D$16,I$16)</f>
        <v>0</v>
      </c>
      <c r="J31" s="52"/>
      <c r="L31" s="52"/>
      <c r="M31" s="52"/>
      <c r="N31" s="52"/>
      <c r="O31" s="52" cm="1">
        <f t="array" aca="1" ref="O31" ca="1">_xlfn.IFS($C31&lt;$D$14,O$14,
$C31&lt;$D$15,O$15,
$C31&lt;$D$16,O$16)</f>
        <v>0.06</v>
      </c>
      <c r="P31" s="52" cm="1">
        <f t="array" aca="1" ref="P31" ca="1">_xlfn.IFS($C31&lt;$D$14,P$14,
$C31&lt;$D$15,P$15,
$C31&lt;$D$16,P$16)</f>
        <v>0.05</v>
      </c>
      <c r="Q31" s="52" cm="1">
        <f t="array" aca="1" ref="Q31" ca="1">_xlfn.IFS($C31&lt;$D$14,Q$14,
$C31&lt;$D$15,Q$15,
$C31&lt;$D$16,Q$16)</f>
        <v>0.05</v>
      </c>
      <c r="R31" s="52" cm="1">
        <f t="array" aca="1" ref="R31" ca="1">_xlfn.IFS($C31&lt;$D$14,R$14,
$C31&lt;$D$15,R$15,
$C31&lt;$D$16,R$16)</f>
        <v>0.06</v>
      </c>
      <c r="S31" s="52" cm="1">
        <f t="array" aca="1" ref="S31" ca="1">_xlfn.IFS($C31&lt;$D$14,S$14,
$C31&lt;$D$15,S$15,
$C31&lt;$D$16,S$16)</f>
        <v>0.04</v>
      </c>
      <c r="T31" s="52" cm="1">
        <f t="array" aca="1" ref="T31" ca="1">_xlfn.IFS($C31&lt;$D$14,T$14,
$C31&lt;$D$15,T$15,
$C31&lt;$D$16,T$16)</f>
        <v>0.04</v>
      </c>
      <c r="U31" s="52" cm="1">
        <f t="array" aca="1" ref="U31" ca="1">_xlfn.IFS($C31&lt;$D$14,U$14,
$C31&lt;$D$15,U$15,
$C31&lt;$D$16,U$16)</f>
        <v>0</v>
      </c>
      <c r="V31" s="19" cm="1">
        <f t="array" aca="1" ref="V31" ca="1">_xlfn.IFS($C31&lt;$D$14,V$14,
$C31&lt;$D$15,V$15,
$C31&lt;$D$16,V$16)</f>
        <v>15000</v>
      </c>
      <c r="W31" s="52"/>
      <c r="X31" s="52"/>
      <c r="Y31" s="52"/>
      <c r="Z31" s="52"/>
      <c r="AA31" s="52" cm="1">
        <f t="array" aca="1" ref="AA31" ca="1">_xlfn.IFS($C31&lt;$Z$14,AA$14,
$C31&lt;$Z$15,AA$15,
$C31&lt;$Z$16,AA$16)</f>
        <v>0.12</v>
      </c>
      <c r="AB31" s="52" cm="1">
        <f t="array" aca="1" ref="AB31" ca="1">_xlfn.IFS($C31&lt;$Z$14,AB$14,
$C31&lt;$Z$15,AB$15,
$C31&lt;$Z$16,AB$16)</f>
        <v>0.14000000000000001</v>
      </c>
      <c r="AC31" s="52" cm="1">
        <f t="array" aca="1" ref="AC31" ca="1">_xlfn.IFS($C31&lt;$Z$14,AC$14,
$C31&lt;$Z$15,AC$15,
$C31&lt;$Z$16,AC$16)</f>
        <v>0.16</v>
      </c>
      <c r="AD31" s="52" cm="1">
        <f t="array" aca="1" ref="AD31" ca="1">_xlfn.IFS($C31&lt;$Z$14,AD$14,
$C31&lt;$Z$15,AD$15,
$C31&lt;$Z$16,AD$16)</f>
        <v>0.05</v>
      </c>
      <c r="AE31" s="52" cm="1">
        <f t="array" aca="1" ref="AE31" ca="1">_xlfn.IFS($C31&lt;$Z$14,AE$14,
$C31&lt;$Z$15,AE$15,
$C31&lt;$Z$16,AE$16)</f>
        <v>0.03</v>
      </c>
    </row>
    <row r="32" spans="1:31" ht="14.25" customHeight="1" x14ac:dyDescent="0.3">
      <c r="A32" s="2">
        <v>31</v>
      </c>
      <c r="B32">
        <v>0.83464744363598364</v>
      </c>
      <c r="C32" s="52">
        <f t="shared" ca="1" si="0"/>
        <v>0.34060992278870017</v>
      </c>
      <c r="D32" s="2"/>
      <c r="E32" s="52" cm="1">
        <f t="array" aca="1" ref="E32" ca="1">_xlfn.IFS($C32&lt;$D$14,E$14,
$C32&lt;$D$15,E$15,
$C32&lt;$D$16,E$16)</f>
        <v>0.1</v>
      </c>
      <c r="F32" s="52" cm="1">
        <f t="array" aca="1" ref="F32" ca="1">_xlfn.IFS($C32&lt;$D$14,F$14,
$C32&lt;$D$15,F$15,
$C32&lt;$D$16,F$16)</f>
        <v>0.05</v>
      </c>
      <c r="G32" s="52" cm="1">
        <f t="array" aca="1" ref="G32" ca="1">_xlfn.IFS($C32&lt;$D$14,G$14,
$C32&lt;$D$15,G$15,
$C32&lt;$D$16,G$16)</f>
        <v>0.05</v>
      </c>
      <c r="H32" s="52" cm="1">
        <f t="array" aca="1" ref="H32" ca="1">_xlfn.IFS($C32&lt;$D$14,H$14,
$C32&lt;$D$15,H$15,
$C32&lt;$D$16,H$16)</f>
        <v>0.1</v>
      </c>
      <c r="I32" s="52" cm="1">
        <f t="array" aca="1" ref="I32" ca="1">_xlfn.IFS($C32&lt;$D$14,I$14,
$C32&lt;$D$15,I$15,
$C32&lt;$D$16,I$16)</f>
        <v>0</v>
      </c>
      <c r="J32" s="52"/>
      <c r="L32" s="52"/>
      <c r="M32" s="52"/>
      <c r="N32" s="52"/>
      <c r="O32" s="52" cm="1">
        <f t="array" aca="1" ref="O32" ca="1">_xlfn.IFS($C32&lt;$D$14,O$14,
$C32&lt;$D$15,O$15,
$C32&lt;$D$16,O$16)</f>
        <v>0.05</v>
      </c>
      <c r="P32" s="52" cm="1">
        <f t="array" aca="1" ref="P32" ca="1">_xlfn.IFS($C32&lt;$D$14,P$14,
$C32&lt;$D$15,P$15,
$C32&lt;$D$16,P$16)</f>
        <v>0.04</v>
      </c>
      <c r="Q32" s="52" cm="1">
        <f t="array" aca="1" ref="Q32" ca="1">_xlfn.IFS($C32&lt;$D$14,Q$14,
$C32&lt;$D$15,Q$15,
$C32&lt;$D$16,Q$16)</f>
        <v>0.08</v>
      </c>
      <c r="R32" s="52" cm="1">
        <f t="array" aca="1" ref="R32" ca="1">_xlfn.IFS($C32&lt;$D$14,R$14,
$C32&lt;$D$15,R$15,
$C32&lt;$D$16,R$16)</f>
        <v>0.06</v>
      </c>
      <c r="S32" s="52" cm="1">
        <f t="array" aca="1" ref="S32" ca="1">_xlfn.IFS($C32&lt;$D$14,S$14,
$C32&lt;$D$15,S$15,
$C32&lt;$D$16,S$16)</f>
        <v>0.04</v>
      </c>
      <c r="T32" s="52" cm="1">
        <f t="array" aca="1" ref="T32" ca="1">_xlfn.IFS($C32&lt;$D$14,T$14,
$C32&lt;$D$15,T$15,
$C32&lt;$D$16,T$16)</f>
        <v>0.05</v>
      </c>
      <c r="U32" s="52" cm="1">
        <f t="array" aca="1" ref="U32" ca="1">_xlfn.IFS($C32&lt;$D$14,U$14,
$C32&lt;$D$15,U$15,
$C32&lt;$D$16,U$16)</f>
        <v>0</v>
      </c>
      <c r="V32" s="19" cm="1">
        <f t="array" aca="1" ref="V32" ca="1">_xlfn.IFS($C32&lt;$D$14,V$14,
$C32&lt;$D$15,V$15,
$C32&lt;$D$16,V$16)</f>
        <v>10000</v>
      </c>
      <c r="W32" s="52"/>
      <c r="X32" s="52"/>
      <c r="Y32" s="52"/>
      <c r="Z32" s="52"/>
      <c r="AA32" s="52" cm="1">
        <f t="array" aca="1" ref="AA32" ca="1">_xlfn.IFS($C32&lt;$Z$14,AA$14,
$C32&lt;$Z$15,AA$15,
$C32&lt;$Z$16,AA$16)</f>
        <v>0.14000000000000001</v>
      </c>
      <c r="AB32" s="52" cm="1">
        <f t="array" aca="1" ref="AB32" ca="1">_xlfn.IFS($C32&lt;$Z$14,AB$14,
$C32&lt;$Z$15,AB$15,
$C32&lt;$Z$16,AB$16)</f>
        <v>0.16</v>
      </c>
      <c r="AC32" s="52" cm="1">
        <f t="array" aca="1" ref="AC32" ca="1">_xlfn.IFS($C32&lt;$Z$14,AC$14,
$C32&lt;$Z$15,AC$15,
$C32&lt;$Z$16,AC$16)</f>
        <v>0.2</v>
      </c>
      <c r="AD32" s="52" cm="1">
        <f t="array" aca="1" ref="AD32" ca="1">_xlfn.IFS($C32&lt;$Z$14,AD$14,
$C32&lt;$Z$15,AD$15,
$C32&lt;$Z$16,AD$16)</f>
        <v>0.05</v>
      </c>
      <c r="AE32" s="52" cm="1">
        <f t="array" aca="1" ref="AE32" ca="1">_xlfn.IFS($C32&lt;$Z$14,AE$14,
$C32&lt;$Z$15,AE$15,
$C32&lt;$Z$16,AE$16)</f>
        <v>0.03</v>
      </c>
    </row>
    <row r="33" spans="1:31" ht="14.25" customHeight="1" x14ac:dyDescent="0.3">
      <c r="A33" s="2">
        <v>32</v>
      </c>
      <c r="B33">
        <v>0.69922045769397889</v>
      </c>
      <c r="C33" s="52">
        <f t="shared" ca="1" si="0"/>
        <v>3.4965093069801889E-2</v>
      </c>
      <c r="D33" s="2"/>
      <c r="E33" s="52" cm="1">
        <f t="array" aca="1" ref="E33" ca="1">_xlfn.IFS($C33&lt;$D$14,E$14,
$C33&lt;$D$15,E$15,
$C33&lt;$D$16,E$16)</f>
        <v>0.1</v>
      </c>
      <c r="F33" s="52" cm="1">
        <f t="array" aca="1" ref="F33" ca="1">_xlfn.IFS($C33&lt;$D$14,F$14,
$C33&lt;$D$15,F$15,
$C33&lt;$D$16,F$16)</f>
        <v>0.05</v>
      </c>
      <c r="G33" s="52" cm="1">
        <f t="array" aca="1" ref="G33" ca="1">_xlfn.IFS($C33&lt;$D$14,G$14,
$C33&lt;$D$15,G$15,
$C33&lt;$D$16,G$16)</f>
        <v>0.05</v>
      </c>
      <c r="H33" s="52" cm="1">
        <f t="array" aca="1" ref="H33" ca="1">_xlfn.IFS($C33&lt;$D$14,H$14,
$C33&lt;$D$15,H$15,
$C33&lt;$D$16,H$16)</f>
        <v>0.1</v>
      </c>
      <c r="I33" s="52" cm="1">
        <f t="array" aca="1" ref="I33" ca="1">_xlfn.IFS($C33&lt;$D$14,I$14,
$C33&lt;$D$15,I$15,
$C33&lt;$D$16,I$16)</f>
        <v>0</v>
      </c>
      <c r="J33" s="52"/>
      <c r="L33" s="52"/>
      <c r="M33" s="52"/>
      <c r="N33" s="52"/>
      <c r="O33" s="52" cm="1">
        <f t="array" aca="1" ref="O33" ca="1">_xlfn.IFS($C33&lt;$D$14,O$14,
$C33&lt;$D$15,O$15,
$C33&lt;$D$16,O$16)</f>
        <v>0.05</v>
      </c>
      <c r="P33" s="52" cm="1">
        <f t="array" aca="1" ref="P33" ca="1">_xlfn.IFS($C33&lt;$D$14,P$14,
$C33&lt;$D$15,P$15,
$C33&lt;$D$16,P$16)</f>
        <v>0.04</v>
      </c>
      <c r="Q33" s="52" cm="1">
        <f t="array" aca="1" ref="Q33" ca="1">_xlfn.IFS($C33&lt;$D$14,Q$14,
$C33&lt;$D$15,Q$15,
$C33&lt;$D$16,Q$16)</f>
        <v>0.08</v>
      </c>
      <c r="R33" s="52" cm="1">
        <f t="array" aca="1" ref="R33" ca="1">_xlfn.IFS($C33&lt;$D$14,R$14,
$C33&lt;$D$15,R$15,
$C33&lt;$D$16,R$16)</f>
        <v>0.06</v>
      </c>
      <c r="S33" s="52" cm="1">
        <f t="array" aca="1" ref="S33" ca="1">_xlfn.IFS($C33&lt;$D$14,S$14,
$C33&lt;$D$15,S$15,
$C33&lt;$D$16,S$16)</f>
        <v>0.04</v>
      </c>
      <c r="T33" s="52" cm="1">
        <f t="array" aca="1" ref="T33" ca="1">_xlfn.IFS($C33&lt;$D$14,T$14,
$C33&lt;$D$15,T$15,
$C33&lt;$D$16,T$16)</f>
        <v>0.05</v>
      </c>
      <c r="U33" s="52" cm="1">
        <f t="array" aca="1" ref="U33" ca="1">_xlfn.IFS($C33&lt;$D$14,U$14,
$C33&lt;$D$15,U$15,
$C33&lt;$D$16,U$16)</f>
        <v>0</v>
      </c>
      <c r="V33" s="19" cm="1">
        <f t="array" aca="1" ref="V33" ca="1">_xlfn.IFS($C33&lt;$D$14,V$14,
$C33&lt;$D$15,V$15,
$C33&lt;$D$16,V$16)</f>
        <v>10000</v>
      </c>
      <c r="W33" s="52"/>
      <c r="X33" s="52"/>
      <c r="Y33" s="52"/>
      <c r="Z33" s="52"/>
      <c r="AA33" s="52" cm="1">
        <f t="array" aca="1" ref="AA33" ca="1">_xlfn.IFS($C33&lt;$Z$14,AA$14,
$C33&lt;$Z$15,AA$15,
$C33&lt;$Z$16,AA$16)</f>
        <v>0.14000000000000001</v>
      </c>
      <c r="AB33" s="52" cm="1">
        <f t="array" aca="1" ref="AB33" ca="1">_xlfn.IFS($C33&lt;$Z$14,AB$14,
$C33&lt;$Z$15,AB$15,
$C33&lt;$Z$16,AB$16)</f>
        <v>0.16</v>
      </c>
      <c r="AC33" s="52" cm="1">
        <f t="array" aca="1" ref="AC33" ca="1">_xlfn.IFS($C33&lt;$Z$14,AC$14,
$C33&lt;$Z$15,AC$15,
$C33&lt;$Z$16,AC$16)</f>
        <v>0.2</v>
      </c>
      <c r="AD33" s="52" cm="1">
        <f t="array" aca="1" ref="AD33" ca="1">_xlfn.IFS($C33&lt;$Z$14,AD$14,
$C33&lt;$Z$15,AD$15,
$C33&lt;$Z$16,AD$16)</f>
        <v>0.05</v>
      </c>
      <c r="AE33" s="52" cm="1">
        <f t="array" aca="1" ref="AE33" ca="1">_xlfn.IFS($C33&lt;$Z$14,AE$14,
$C33&lt;$Z$15,AE$15,
$C33&lt;$Z$16,AE$16)</f>
        <v>0.03</v>
      </c>
    </row>
    <row r="34" spans="1:31" ht="14.25" customHeight="1" x14ac:dyDescent="0.3">
      <c r="A34" s="2">
        <v>33</v>
      </c>
      <c r="B34">
        <v>0.72152244030833335</v>
      </c>
      <c r="C34" s="52">
        <f t="shared" ca="1" si="0"/>
        <v>0.10528695108610064</v>
      </c>
      <c r="D34" s="2"/>
      <c r="E34" s="52" cm="1">
        <f t="array" aca="1" ref="E34" ca="1">_xlfn.IFS($C34&lt;$D$14,E$14,
$C34&lt;$D$15,E$15,
$C34&lt;$D$16,E$16)</f>
        <v>0.1</v>
      </c>
      <c r="F34" s="52" cm="1">
        <f t="array" aca="1" ref="F34" ca="1">_xlfn.IFS($C34&lt;$D$14,F$14,
$C34&lt;$D$15,F$15,
$C34&lt;$D$16,F$16)</f>
        <v>0.05</v>
      </c>
      <c r="G34" s="52" cm="1">
        <f t="array" aca="1" ref="G34" ca="1">_xlfn.IFS($C34&lt;$D$14,G$14,
$C34&lt;$D$15,G$15,
$C34&lt;$D$16,G$16)</f>
        <v>0.05</v>
      </c>
      <c r="H34" s="52" cm="1">
        <f t="array" aca="1" ref="H34" ca="1">_xlfn.IFS($C34&lt;$D$14,H$14,
$C34&lt;$D$15,H$15,
$C34&lt;$D$16,H$16)</f>
        <v>0.1</v>
      </c>
      <c r="I34" s="52" cm="1">
        <f t="array" aca="1" ref="I34" ca="1">_xlfn.IFS($C34&lt;$D$14,I$14,
$C34&lt;$D$15,I$15,
$C34&lt;$D$16,I$16)</f>
        <v>0</v>
      </c>
      <c r="J34" s="52"/>
      <c r="L34" s="52"/>
      <c r="M34" s="52"/>
      <c r="N34" s="52"/>
      <c r="O34" s="52" cm="1">
        <f t="array" aca="1" ref="O34" ca="1">_xlfn.IFS($C34&lt;$D$14,O$14,
$C34&lt;$D$15,O$15,
$C34&lt;$D$16,O$16)</f>
        <v>0.05</v>
      </c>
      <c r="P34" s="52" cm="1">
        <f t="array" aca="1" ref="P34" ca="1">_xlfn.IFS($C34&lt;$D$14,P$14,
$C34&lt;$D$15,P$15,
$C34&lt;$D$16,P$16)</f>
        <v>0.04</v>
      </c>
      <c r="Q34" s="52" cm="1">
        <f t="array" aca="1" ref="Q34" ca="1">_xlfn.IFS($C34&lt;$D$14,Q$14,
$C34&lt;$D$15,Q$15,
$C34&lt;$D$16,Q$16)</f>
        <v>0.08</v>
      </c>
      <c r="R34" s="52" cm="1">
        <f t="array" aca="1" ref="R34" ca="1">_xlfn.IFS($C34&lt;$D$14,R$14,
$C34&lt;$D$15,R$15,
$C34&lt;$D$16,R$16)</f>
        <v>0.06</v>
      </c>
      <c r="S34" s="52" cm="1">
        <f t="array" aca="1" ref="S34" ca="1">_xlfn.IFS($C34&lt;$D$14,S$14,
$C34&lt;$D$15,S$15,
$C34&lt;$D$16,S$16)</f>
        <v>0.04</v>
      </c>
      <c r="T34" s="52" cm="1">
        <f t="array" aca="1" ref="T34" ca="1">_xlfn.IFS($C34&lt;$D$14,T$14,
$C34&lt;$D$15,T$15,
$C34&lt;$D$16,T$16)</f>
        <v>0.05</v>
      </c>
      <c r="U34" s="52" cm="1">
        <f t="array" aca="1" ref="U34" ca="1">_xlfn.IFS($C34&lt;$D$14,U$14,
$C34&lt;$D$15,U$15,
$C34&lt;$D$16,U$16)</f>
        <v>0</v>
      </c>
      <c r="V34" s="19" cm="1">
        <f t="array" aca="1" ref="V34" ca="1">_xlfn.IFS($C34&lt;$D$14,V$14,
$C34&lt;$D$15,V$15,
$C34&lt;$D$16,V$16)</f>
        <v>10000</v>
      </c>
      <c r="W34" s="52"/>
      <c r="X34" s="52"/>
      <c r="Y34" s="52"/>
      <c r="Z34" s="52"/>
      <c r="AA34" s="52" cm="1">
        <f t="array" aca="1" ref="AA34" ca="1">_xlfn.IFS($C34&lt;$Z$14,AA$14,
$C34&lt;$Z$15,AA$15,
$C34&lt;$Z$16,AA$16)</f>
        <v>0.14000000000000001</v>
      </c>
      <c r="AB34" s="52" cm="1">
        <f t="array" aca="1" ref="AB34" ca="1">_xlfn.IFS($C34&lt;$Z$14,AB$14,
$C34&lt;$Z$15,AB$15,
$C34&lt;$Z$16,AB$16)</f>
        <v>0.16</v>
      </c>
      <c r="AC34" s="52" cm="1">
        <f t="array" aca="1" ref="AC34" ca="1">_xlfn.IFS($C34&lt;$Z$14,AC$14,
$C34&lt;$Z$15,AC$15,
$C34&lt;$Z$16,AC$16)</f>
        <v>0.2</v>
      </c>
      <c r="AD34" s="52" cm="1">
        <f t="array" aca="1" ref="AD34" ca="1">_xlfn.IFS($C34&lt;$Z$14,AD$14,
$C34&lt;$Z$15,AD$15,
$C34&lt;$Z$16,AD$16)</f>
        <v>0.05</v>
      </c>
      <c r="AE34" s="52" cm="1">
        <f t="array" aca="1" ref="AE34" ca="1">_xlfn.IFS($C34&lt;$Z$14,AE$14,
$C34&lt;$Z$15,AE$15,
$C34&lt;$Z$16,AE$16)</f>
        <v>0.03</v>
      </c>
    </row>
    <row r="35" spans="1:31" ht="14.25" customHeight="1" x14ac:dyDescent="0.3">
      <c r="A35" s="2">
        <v>34</v>
      </c>
      <c r="B35">
        <v>0.60990957424917669</v>
      </c>
      <c r="C35" s="52">
        <f t="shared" ca="1" si="0"/>
        <v>0.98154060345540073</v>
      </c>
      <c r="D35" s="2"/>
      <c r="E35" s="52" cm="1">
        <f t="array" aca="1" ref="E35" ca="1">_xlfn.IFS($C35&lt;$D$14,E$14,
$C35&lt;$D$15,E$15,
$C35&lt;$D$16,E$16)</f>
        <v>0.04</v>
      </c>
      <c r="F35" s="52" cm="1">
        <f t="array" aca="1" ref="F35" ca="1">_xlfn.IFS($C35&lt;$D$14,F$14,
$C35&lt;$D$15,F$15,
$C35&lt;$D$16,F$16)</f>
        <v>0.05</v>
      </c>
      <c r="G35" s="52" cm="1">
        <f t="array" aca="1" ref="G35" ca="1">_xlfn.IFS($C35&lt;$D$14,G$14,
$C35&lt;$D$15,G$15,
$C35&lt;$D$16,G$16)</f>
        <v>0.05</v>
      </c>
      <c r="H35" s="52" cm="1">
        <f t="array" aca="1" ref="H35" ca="1">_xlfn.IFS($C35&lt;$D$14,H$14,
$C35&lt;$D$15,H$15,
$C35&lt;$D$16,H$16)</f>
        <v>0.01</v>
      </c>
      <c r="I35" s="52" cm="1">
        <f t="array" aca="1" ref="I35" ca="1">_xlfn.IFS($C35&lt;$D$14,I$14,
$C35&lt;$D$15,I$15,
$C35&lt;$D$16,I$16)</f>
        <v>0</v>
      </c>
      <c r="J35" s="52"/>
      <c r="L35" s="52"/>
      <c r="M35" s="52"/>
      <c r="N35" s="52"/>
      <c r="O35" s="52" cm="1">
        <f t="array" aca="1" ref="O35" ca="1">_xlfn.IFS($C35&lt;$D$14,O$14,
$C35&lt;$D$15,O$15,
$C35&lt;$D$16,O$16)</f>
        <v>0.08</v>
      </c>
      <c r="P35" s="52" cm="1">
        <f t="array" aca="1" ref="P35" ca="1">_xlfn.IFS($C35&lt;$D$14,P$14,
$C35&lt;$D$15,P$15,
$C35&lt;$D$16,P$16)</f>
        <v>7.0000000000000007E-2</v>
      </c>
      <c r="Q35" s="52" cm="1">
        <f t="array" aca="1" ref="Q35" ca="1">_xlfn.IFS($C35&lt;$D$14,Q$14,
$C35&lt;$D$15,Q$15,
$C35&lt;$D$16,Q$16)</f>
        <v>0.1</v>
      </c>
      <c r="R35" s="52" cm="1">
        <f t="array" aca="1" ref="R35" ca="1">_xlfn.IFS($C35&lt;$D$14,R$14,
$C35&lt;$D$15,R$15,
$C35&lt;$D$16,R$16)</f>
        <v>0.06</v>
      </c>
      <c r="S35" s="52" cm="1">
        <f t="array" aca="1" ref="S35" ca="1">_xlfn.IFS($C35&lt;$D$14,S$14,
$C35&lt;$D$15,S$15,
$C35&lt;$D$16,S$16)</f>
        <v>0.04</v>
      </c>
      <c r="T35" s="52" cm="1">
        <f t="array" aca="1" ref="T35" ca="1">_xlfn.IFS($C35&lt;$D$14,T$14,
$C35&lt;$D$15,T$15,
$C35&lt;$D$16,T$16)</f>
        <v>0.08</v>
      </c>
      <c r="U35" s="52" cm="1">
        <f t="array" aca="1" ref="U35" ca="1">_xlfn.IFS($C35&lt;$D$14,U$14,
$C35&lt;$D$15,U$15,
$C35&lt;$D$16,U$16)</f>
        <v>0</v>
      </c>
      <c r="V35" s="19" cm="1">
        <f t="array" aca="1" ref="V35" ca="1">_xlfn.IFS($C35&lt;$D$14,V$14,
$C35&lt;$D$15,V$15,
$C35&lt;$D$16,V$16)</f>
        <v>30000</v>
      </c>
      <c r="W35" s="52"/>
      <c r="X35" s="52"/>
      <c r="Y35" s="52"/>
      <c r="Z35" s="52"/>
      <c r="AA35" s="52" cm="1">
        <f t="array" aca="1" ref="AA35" ca="1">_xlfn.IFS($C35&lt;$Z$14,AA$14,
$C35&lt;$Z$15,AA$15,
$C35&lt;$Z$16,AA$16)</f>
        <v>0.09</v>
      </c>
      <c r="AB35" s="52" cm="1">
        <f t="array" aca="1" ref="AB35" ca="1">_xlfn.IFS($C35&lt;$Z$14,AB$14,
$C35&lt;$Z$15,AB$15,
$C35&lt;$Z$16,AB$16)</f>
        <v>0.12</v>
      </c>
      <c r="AC35" s="52" cm="1">
        <f t="array" aca="1" ref="AC35" ca="1">_xlfn.IFS($C35&lt;$Z$14,AC$14,
$C35&lt;$Z$15,AC$15,
$C35&lt;$Z$16,AC$16)</f>
        <v>0.14000000000000001</v>
      </c>
      <c r="AD35" s="52" cm="1">
        <f t="array" aca="1" ref="AD35" ca="1">_xlfn.IFS($C35&lt;$Z$14,AD$14,
$C35&lt;$Z$15,AD$15,
$C35&lt;$Z$16,AD$16)</f>
        <v>0.05</v>
      </c>
      <c r="AE35" s="52" cm="1">
        <f t="array" aca="1" ref="AE35" ca="1">_xlfn.IFS($C35&lt;$Z$14,AE$14,
$C35&lt;$Z$15,AE$15,
$C35&lt;$Z$16,AE$16)</f>
        <v>0.03</v>
      </c>
    </row>
    <row r="36" spans="1:31" ht="14.25" customHeight="1" x14ac:dyDescent="0.3">
      <c r="A36" s="2">
        <v>35</v>
      </c>
      <c r="B36">
        <v>0.82386511947377605</v>
      </c>
      <c r="C36" s="52">
        <f t="shared" ca="1" si="0"/>
        <v>0.53780791207691336</v>
      </c>
      <c r="D36" s="2"/>
      <c r="E36" s="52" cm="1">
        <f t="array" aca="1" ref="E36" ca="1">_xlfn.IFS($C36&lt;$D$14,E$14,
$C36&lt;$D$15,E$15,
$C36&lt;$D$16,E$16)</f>
        <v>0.1</v>
      </c>
      <c r="F36" s="52" cm="1">
        <f t="array" aca="1" ref="F36" ca="1">_xlfn.IFS($C36&lt;$D$14,F$14,
$C36&lt;$D$15,F$15,
$C36&lt;$D$16,F$16)</f>
        <v>0.05</v>
      </c>
      <c r="G36" s="52" cm="1">
        <f t="array" aca="1" ref="G36" ca="1">_xlfn.IFS($C36&lt;$D$14,G$14,
$C36&lt;$D$15,G$15,
$C36&lt;$D$16,G$16)</f>
        <v>0.05</v>
      </c>
      <c r="H36" s="52" cm="1">
        <f t="array" aca="1" ref="H36" ca="1">_xlfn.IFS($C36&lt;$D$14,H$14,
$C36&lt;$D$15,H$15,
$C36&lt;$D$16,H$16)</f>
        <v>0.1</v>
      </c>
      <c r="I36" s="52" cm="1">
        <f t="array" aca="1" ref="I36" ca="1">_xlfn.IFS($C36&lt;$D$14,I$14,
$C36&lt;$D$15,I$15,
$C36&lt;$D$16,I$16)</f>
        <v>0</v>
      </c>
      <c r="J36" s="52"/>
      <c r="L36" s="52"/>
      <c r="M36" s="52"/>
      <c r="N36" s="52"/>
      <c r="O36" s="52" cm="1">
        <f t="array" aca="1" ref="O36" ca="1">_xlfn.IFS($C36&lt;$D$14,O$14,
$C36&lt;$D$15,O$15,
$C36&lt;$D$16,O$16)</f>
        <v>0.05</v>
      </c>
      <c r="P36" s="52" cm="1">
        <f t="array" aca="1" ref="P36" ca="1">_xlfn.IFS($C36&lt;$D$14,P$14,
$C36&lt;$D$15,P$15,
$C36&lt;$D$16,P$16)</f>
        <v>0.04</v>
      </c>
      <c r="Q36" s="52" cm="1">
        <f t="array" aca="1" ref="Q36" ca="1">_xlfn.IFS($C36&lt;$D$14,Q$14,
$C36&lt;$D$15,Q$15,
$C36&lt;$D$16,Q$16)</f>
        <v>0.08</v>
      </c>
      <c r="R36" s="52" cm="1">
        <f t="array" aca="1" ref="R36" ca="1">_xlfn.IFS($C36&lt;$D$14,R$14,
$C36&lt;$D$15,R$15,
$C36&lt;$D$16,R$16)</f>
        <v>0.06</v>
      </c>
      <c r="S36" s="52" cm="1">
        <f t="array" aca="1" ref="S36" ca="1">_xlfn.IFS($C36&lt;$D$14,S$14,
$C36&lt;$D$15,S$15,
$C36&lt;$D$16,S$16)</f>
        <v>0.04</v>
      </c>
      <c r="T36" s="52" cm="1">
        <f t="array" aca="1" ref="T36" ca="1">_xlfn.IFS($C36&lt;$D$14,T$14,
$C36&lt;$D$15,T$15,
$C36&lt;$D$16,T$16)</f>
        <v>0.05</v>
      </c>
      <c r="U36" s="52" cm="1">
        <f t="array" aca="1" ref="U36" ca="1">_xlfn.IFS($C36&lt;$D$14,U$14,
$C36&lt;$D$15,U$15,
$C36&lt;$D$16,U$16)</f>
        <v>0</v>
      </c>
      <c r="V36" s="19" cm="1">
        <f t="array" aca="1" ref="V36" ca="1">_xlfn.IFS($C36&lt;$D$14,V$14,
$C36&lt;$D$15,V$15,
$C36&lt;$D$16,V$16)</f>
        <v>10000</v>
      </c>
      <c r="W36" s="52"/>
      <c r="X36" s="52"/>
      <c r="Y36" s="52"/>
      <c r="Z36" s="52"/>
      <c r="AA36" s="52" cm="1">
        <f t="array" aca="1" ref="AA36" ca="1">_xlfn.IFS($C36&lt;$Z$14,AA$14,
$C36&lt;$Z$15,AA$15,
$C36&lt;$Z$16,AA$16)</f>
        <v>0.14000000000000001</v>
      </c>
      <c r="AB36" s="52" cm="1">
        <f t="array" aca="1" ref="AB36" ca="1">_xlfn.IFS($C36&lt;$Z$14,AB$14,
$C36&lt;$Z$15,AB$15,
$C36&lt;$Z$16,AB$16)</f>
        <v>0.16</v>
      </c>
      <c r="AC36" s="52" cm="1">
        <f t="array" aca="1" ref="AC36" ca="1">_xlfn.IFS($C36&lt;$Z$14,AC$14,
$C36&lt;$Z$15,AC$15,
$C36&lt;$Z$16,AC$16)</f>
        <v>0.2</v>
      </c>
      <c r="AD36" s="52" cm="1">
        <f t="array" aca="1" ref="AD36" ca="1">_xlfn.IFS($C36&lt;$Z$14,AD$14,
$C36&lt;$Z$15,AD$15,
$C36&lt;$Z$16,AD$16)</f>
        <v>0.05</v>
      </c>
      <c r="AE36" s="52" cm="1">
        <f t="array" aca="1" ref="AE36" ca="1">_xlfn.IFS($C36&lt;$Z$14,AE$14,
$C36&lt;$Z$15,AE$15,
$C36&lt;$Z$16,AE$16)</f>
        <v>0.03</v>
      </c>
    </row>
    <row r="37" spans="1:31" ht="14.25" customHeight="1" x14ac:dyDescent="0.3">
      <c r="A37" s="2">
        <v>36</v>
      </c>
      <c r="B37">
        <v>0.11729465939905759</v>
      </c>
      <c r="C37" s="52">
        <f t="shared" ca="1" si="0"/>
        <v>0.3069476812324875</v>
      </c>
      <c r="D37" s="2"/>
      <c r="E37" s="52" cm="1">
        <f t="array" aca="1" ref="E37" ca="1">_xlfn.IFS($C37&lt;$D$14,E$14,
$C37&lt;$D$15,E$15,
$C37&lt;$D$16,E$16)</f>
        <v>0.1</v>
      </c>
      <c r="F37" s="52" cm="1">
        <f t="array" aca="1" ref="F37" ca="1">_xlfn.IFS($C37&lt;$D$14,F$14,
$C37&lt;$D$15,F$15,
$C37&lt;$D$16,F$16)</f>
        <v>0.05</v>
      </c>
      <c r="G37" s="52" cm="1">
        <f t="array" aca="1" ref="G37" ca="1">_xlfn.IFS($C37&lt;$D$14,G$14,
$C37&lt;$D$15,G$15,
$C37&lt;$D$16,G$16)</f>
        <v>0.05</v>
      </c>
      <c r="H37" s="52" cm="1">
        <f t="array" aca="1" ref="H37" ca="1">_xlfn.IFS($C37&lt;$D$14,H$14,
$C37&lt;$D$15,H$15,
$C37&lt;$D$16,H$16)</f>
        <v>0.1</v>
      </c>
      <c r="I37" s="52" cm="1">
        <f t="array" aca="1" ref="I37" ca="1">_xlfn.IFS($C37&lt;$D$14,I$14,
$C37&lt;$D$15,I$15,
$C37&lt;$D$16,I$16)</f>
        <v>0</v>
      </c>
      <c r="J37" s="52"/>
      <c r="L37" s="52"/>
      <c r="M37" s="52"/>
      <c r="N37" s="52"/>
      <c r="O37" s="52" cm="1">
        <f t="array" aca="1" ref="O37" ca="1">_xlfn.IFS($C37&lt;$D$14,O$14,
$C37&lt;$D$15,O$15,
$C37&lt;$D$16,O$16)</f>
        <v>0.05</v>
      </c>
      <c r="P37" s="52" cm="1">
        <f t="array" aca="1" ref="P37" ca="1">_xlfn.IFS($C37&lt;$D$14,P$14,
$C37&lt;$D$15,P$15,
$C37&lt;$D$16,P$16)</f>
        <v>0.04</v>
      </c>
      <c r="Q37" s="52" cm="1">
        <f t="array" aca="1" ref="Q37" ca="1">_xlfn.IFS($C37&lt;$D$14,Q$14,
$C37&lt;$D$15,Q$15,
$C37&lt;$D$16,Q$16)</f>
        <v>0.08</v>
      </c>
      <c r="R37" s="52" cm="1">
        <f t="array" aca="1" ref="R37" ca="1">_xlfn.IFS($C37&lt;$D$14,R$14,
$C37&lt;$D$15,R$15,
$C37&lt;$D$16,R$16)</f>
        <v>0.06</v>
      </c>
      <c r="S37" s="52" cm="1">
        <f t="array" aca="1" ref="S37" ca="1">_xlfn.IFS($C37&lt;$D$14,S$14,
$C37&lt;$D$15,S$15,
$C37&lt;$D$16,S$16)</f>
        <v>0.04</v>
      </c>
      <c r="T37" s="52" cm="1">
        <f t="array" aca="1" ref="T37" ca="1">_xlfn.IFS($C37&lt;$D$14,T$14,
$C37&lt;$D$15,T$15,
$C37&lt;$D$16,T$16)</f>
        <v>0.05</v>
      </c>
      <c r="U37" s="52" cm="1">
        <f t="array" aca="1" ref="U37" ca="1">_xlfn.IFS($C37&lt;$D$14,U$14,
$C37&lt;$D$15,U$15,
$C37&lt;$D$16,U$16)</f>
        <v>0</v>
      </c>
      <c r="V37" s="19" cm="1">
        <f t="array" aca="1" ref="V37" ca="1">_xlfn.IFS($C37&lt;$D$14,V$14,
$C37&lt;$D$15,V$15,
$C37&lt;$D$16,V$16)</f>
        <v>10000</v>
      </c>
      <c r="W37" s="52"/>
      <c r="X37" s="52"/>
      <c r="Y37" s="52"/>
      <c r="Z37" s="52"/>
      <c r="AA37" s="52" cm="1">
        <f t="array" aca="1" ref="AA37" ca="1">_xlfn.IFS($C37&lt;$Z$14,AA$14,
$C37&lt;$Z$15,AA$15,
$C37&lt;$Z$16,AA$16)</f>
        <v>0.14000000000000001</v>
      </c>
      <c r="AB37" s="52" cm="1">
        <f t="array" aca="1" ref="AB37" ca="1">_xlfn.IFS($C37&lt;$Z$14,AB$14,
$C37&lt;$Z$15,AB$15,
$C37&lt;$Z$16,AB$16)</f>
        <v>0.16</v>
      </c>
      <c r="AC37" s="52" cm="1">
        <f t="array" aca="1" ref="AC37" ca="1">_xlfn.IFS($C37&lt;$Z$14,AC$14,
$C37&lt;$Z$15,AC$15,
$C37&lt;$Z$16,AC$16)</f>
        <v>0.2</v>
      </c>
      <c r="AD37" s="52" cm="1">
        <f t="array" aca="1" ref="AD37" ca="1">_xlfn.IFS($C37&lt;$Z$14,AD$14,
$C37&lt;$Z$15,AD$15,
$C37&lt;$Z$16,AD$16)</f>
        <v>0.05</v>
      </c>
      <c r="AE37" s="52" cm="1">
        <f t="array" aca="1" ref="AE37" ca="1">_xlfn.IFS($C37&lt;$Z$14,AE$14,
$C37&lt;$Z$15,AE$15,
$C37&lt;$Z$16,AE$16)</f>
        <v>0.03</v>
      </c>
    </row>
    <row r="38" spans="1:31" ht="14.25" customHeight="1" x14ac:dyDescent="0.3">
      <c r="A38" s="2">
        <v>37</v>
      </c>
      <c r="B38">
        <v>0.48643050028679979</v>
      </c>
      <c r="C38" s="52">
        <f t="shared" ca="1" si="0"/>
        <v>0.87627775615287917</v>
      </c>
      <c r="D38" s="2"/>
      <c r="E38" s="52" cm="1">
        <f t="array" aca="1" ref="E38" ca="1">_xlfn.IFS($C38&lt;$D$14,E$14,
$C38&lt;$D$15,E$15,
$C38&lt;$D$16,E$16)</f>
        <v>7.0000000000000007E-2</v>
      </c>
      <c r="F38" s="52" cm="1">
        <f t="array" aca="1" ref="F38" ca="1">_xlfn.IFS($C38&lt;$D$14,F$14,
$C38&lt;$D$15,F$15,
$C38&lt;$D$16,F$16)</f>
        <v>0.05</v>
      </c>
      <c r="G38" s="52" cm="1">
        <f t="array" aca="1" ref="G38" ca="1">_xlfn.IFS($C38&lt;$D$14,G$14,
$C38&lt;$D$15,G$15,
$C38&lt;$D$16,G$16)</f>
        <v>0.05</v>
      </c>
      <c r="H38" s="52" cm="1">
        <f t="array" aca="1" ref="H38" ca="1">_xlfn.IFS($C38&lt;$D$14,H$14,
$C38&lt;$D$15,H$15,
$C38&lt;$D$16,H$16)</f>
        <v>0.05</v>
      </c>
      <c r="I38" s="52" cm="1">
        <f t="array" aca="1" ref="I38" ca="1">_xlfn.IFS($C38&lt;$D$14,I$14,
$C38&lt;$D$15,I$15,
$C38&lt;$D$16,I$16)</f>
        <v>0</v>
      </c>
      <c r="J38" s="52"/>
      <c r="L38" s="52"/>
      <c r="M38" s="52"/>
      <c r="N38" s="52"/>
      <c r="O38" s="52" cm="1">
        <f t="array" aca="1" ref="O38" ca="1">_xlfn.IFS($C38&lt;$D$14,O$14,
$C38&lt;$D$15,O$15,
$C38&lt;$D$16,O$16)</f>
        <v>0.06</v>
      </c>
      <c r="P38" s="52" cm="1">
        <f t="array" aca="1" ref="P38" ca="1">_xlfn.IFS($C38&lt;$D$14,P$14,
$C38&lt;$D$15,P$15,
$C38&lt;$D$16,P$16)</f>
        <v>0.05</v>
      </c>
      <c r="Q38" s="52" cm="1">
        <f t="array" aca="1" ref="Q38" ca="1">_xlfn.IFS($C38&lt;$D$14,Q$14,
$C38&lt;$D$15,Q$15,
$C38&lt;$D$16,Q$16)</f>
        <v>0.05</v>
      </c>
      <c r="R38" s="52" cm="1">
        <f t="array" aca="1" ref="R38" ca="1">_xlfn.IFS($C38&lt;$D$14,R$14,
$C38&lt;$D$15,R$15,
$C38&lt;$D$16,R$16)</f>
        <v>0.06</v>
      </c>
      <c r="S38" s="52" cm="1">
        <f t="array" aca="1" ref="S38" ca="1">_xlfn.IFS($C38&lt;$D$14,S$14,
$C38&lt;$D$15,S$15,
$C38&lt;$D$16,S$16)</f>
        <v>0.04</v>
      </c>
      <c r="T38" s="52" cm="1">
        <f t="array" aca="1" ref="T38" ca="1">_xlfn.IFS($C38&lt;$D$14,T$14,
$C38&lt;$D$15,T$15,
$C38&lt;$D$16,T$16)</f>
        <v>0.04</v>
      </c>
      <c r="U38" s="52" cm="1">
        <f t="array" aca="1" ref="U38" ca="1">_xlfn.IFS($C38&lt;$D$14,U$14,
$C38&lt;$D$15,U$15,
$C38&lt;$D$16,U$16)</f>
        <v>0</v>
      </c>
      <c r="V38" s="19" cm="1">
        <f t="array" aca="1" ref="V38" ca="1">_xlfn.IFS($C38&lt;$D$14,V$14,
$C38&lt;$D$15,V$15,
$C38&lt;$D$16,V$16)</f>
        <v>15000</v>
      </c>
      <c r="W38" s="52"/>
      <c r="X38" s="52"/>
      <c r="Y38" s="52"/>
      <c r="Z38" s="52"/>
      <c r="AA38" s="52" cm="1">
        <f t="array" aca="1" ref="AA38" ca="1">_xlfn.IFS($C38&lt;$Z$14,AA$14,
$C38&lt;$Z$15,AA$15,
$C38&lt;$Z$16,AA$16)</f>
        <v>0.12</v>
      </c>
      <c r="AB38" s="52" cm="1">
        <f t="array" aca="1" ref="AB38" ca="1">_xlfn.IFS($C38&lt;$Z$14,AB$14,
$C38&lt;$Z$15,AB$15,
$C38&lt;$Z$16,AB$16)</f>
        <v>0.14000000000000001</v>
      </c>
      <c r="AC38" s="52" cm="1">
        <f t="array" aca="1" ref="AC38" ca="1">_xlfn.IFS($C38&lt;$Z$14,AC$14,
$C38&lt;$Z$15,AC$15,
$C38&lt;$Z$16,AC$16)</f>
        <v>0.16</v>
      </c>
      <c r="AD38" s="52" cm="1">
        <f t="array" aca="1" ref="AD38" ca="1">_xlfn.IFS($C38&lt;$Z$14,AD$14,
$C38&lt;$Z$15,AD$15,
$C38&lt;$Z$16,AD$16)</f>
        <v>0.05</v>
      </c>
      <c r="AE38" s="52" cm="1">
        <f t="array" aca="1" ref="AE38" ca="1">_xlfn.IFS($C38&lt;$Z$14,AE$14,
$C38&lt;$Z$15,AE$15,
$C38&lt;$Z$16,AE$16)</f>
        <v>0.03</v>
      </c>
    </row>
    <row r="39" spans="1:31" ht="14.25" customHeight="1" x14ac:dyDescent="0.3">
      <c r="A39" s="2">
        <v>38</v>
      </c>
      <c r="B39">
        <v>0.66565861683146066</v>
      </c>
      <c r="C39" s="52">
        <f t="shared" ca="1" si="0"/>
        <v>0.25479017225671829</v>
      </c>
      <c r="D39" s="2"/>
      <c r="E39" s="52" cm="1">
        <f t="array" aca="1" ref="E39" ca="1">_xlfn.IFS($C39&lt;$D$14,E$14,
$C39&lt;$D$15,E$15,
$C39&lt;$D$16,E$16)</f>
        <v>0.1</v>
      </c>
      <c r="F39" s="52" cm="1">
        <f t="array" aca="1" ref="F39" ca="1">_xlfn.IFS($C39&lt;$D$14,F$14,
$C39&lt;$D$15,F$15,
$C39&lt;$D$16,F$16)</f>
        <v>0.05</v>
      </c>
      <c r="G39" s="52" cm="1">
        <f t="array" aca="1" ref="G39" ca="1">_xlfn.IFS($C39&lt;$D$14,G$14,
$C39&lt;$D$15,G$15,
$C39&lt;$D$16,G$16)</f>
        <v>0.05</v>
      </c>
      <c r="H39" s="52" cm="1">
        <f t="array" aca="1" ref="H39" ca="1">_xlfn.IFS($C39&lt;$D$14,H$14,
$C39&lt;$D$15,H$15,
$C39&lt;$D$16,H$16)</f>
        <v>0.1</v>
      </c>
      <c r="I39" s="52" cm="1">
        <f t="array" aca="1" ref="I39" ca="1">_xlfn.IFS($C39&lt;$D$14,I$14,
$C39&lt;$D$15,I$15,
$C39&lt;$D$16,I$16)</f>
        <v>0</v>
      </c>
      <c r="J39" s="52"/>
      <c r="L39" s="52"/>
      <c r="M39" s="52"/>
      <c r="N39" s="52"/>
      <c r="O39" s="52" cm="1">
        <f t="array" aca="1" ref="O39" ca="1">_xlfn.IFS($C39&lt;$D$14,O$14,
$C39&lt;$D$15,O$15,
$C39&lt;$D$16,O$16)</f>
        <v>0.05</v>
      </c>
      <c r="P39" s="52" cm="1">
        <f t="array" aca="1" ref="P39" ca="1">_xlfn.IFS($C39&lt;$D$14,P$14,
$C39&lt;$D$15,P$15,
$C39&lt;$D$16,P$16)</f>
        <v>0.04</v>
      </c>
      <c r="Q39" s="52" cm="1">
        <f t="array" aca="1" ref="Q39" ca="1">_xlfn.IFS($C39&lt;$D$14,Q$14,
$C39&lt;$D$15,Q$15,
$C39&lt;$D$16,Q$16)</f>
        <v>0.08</v>
      </c>
      <c r="R39" s="52" cm="1">
        <f t="array" aca="1" ref="R39" ca="1">_xlfn.IFS($C39&lt;$D$14,R$14,
$C39&lt;$D$15,R$15,
$C39&lt;$D$16,R$16)</f>
        <v>0.06</v>
      </c>
      <c r="S39" s="52" cm="1">
        <f t="array" aca="1" ref="S39" ca="1">_xlfn.IFS($C39&lt;$D$14,S$14,
$C39&lt;$D$15,S$15,
$C39&lt;$D$16,S$16)</f>
        <v>0.04</v>
      </c>
      <c r="T39" s="52" cm="1">
        <f t="array" aca="1" ref="T39" ca="1">_xlfn.IFS($C39&lt;$D$14,T$14,
$C39&lt;$D$15,T$15,
$C39&lt;$D$16,T$16)</f>
        <v>0.05</v>
      </c>
      <c r="U39" s="52" cm="1">
        <f t="array" aca="1" ref="U39" ca="1">_xlfn.IFS($C39&lt;$D$14,U$14,
$C39&lt;$D$15,U$15,
$C39&lt;$D$16,U$16)</f>
        <v>0</v>
      </c>
      <c r="V39" s="19" cm="1">
        <f t="array" aca="1" ref="V39" ca="1">_xlfn.IFS($C39&lt;$D$14,V$14,
$C39&lt;$D$15,V$15,
$C39&lt;$D$16,V$16)</f>
        <v>10000</v>
      </c>
      <c r="W39" s="52"/>
      <c r="X39" s="52"/>
      <c r="Y39" s="52"/>
      <c r="Z39" s="52"/>
      <c r="AA39" s="52" cm="1">
        <f t="array" aca="1" ref="AA39" ca="1">_xlfn.IFS($C39&lt;$Z$14,AA$14,
$C39&lt;$Z$15,AA$15,
$C39&lt;$Z$16,AA$16)</f>
        <v>0.14000000000000001</v>
      </c>
      <c r="AB39" s="52" cm="1">
        <f t="array" aca="1" ref="AB39" ca="1">_xlfn.IFS($C39&lt;$Z$14,AB$14,
$C39&lt;$Z$15,AB$15,
$C39&lt;$Z$16,AB$16)</f>
        <v>0.16</v>
      </c>
      <c r="AC39" s="52" cm="1">
        <f t="array" aca="1" ref="AC39" ca="1">_xlfn.IFS($C39&lt;$Z$14,AC$14,
$C39&lt;$Z$15,AC$15,
$C39&lt;$Z$16,AC$16)</f>
        <v>0.2</v>
      </c>
      <c r="AD39" s="52" cm="1">
        <f t="array" aca="1" ref="AD39" ca="1">_xlfn.IFS($C39&lt;$Z$14,AD$14,
$C39&lt;$Z$15,AD$15,
$C39&lt;$Z$16,AD$16)</f>
        <v>0.05</v>
      </c>
      <c r="AE39" s="52" cm="1">
        <f t="array" aca="1" ref="AE39" ca="1">_xlfn.IFS($C39&lt;$Z$14,AE$14,
$C39&lt;$Z$15,AE$15,
$C39&lt;$Z$16,AE$16)</f>
        <v>0.03</v>
      </c>
    </row>
    <row r="40" spans="1:31" ht="14.25" customHeight="1" x14ac:dyDescent="0.3">
      <c r="A40" s="2">
        <v>39</v>
      </c>
      <c r="B40">
        <v>4.6240544608615708E-2</v>
      </c>
      <c r="C40" s="52">
        <f t="shared" ca="1" si="0"/>
        <v>0.38319429610613498</v>
      </c>
      <c r="D40" s="2"/>
      <c r="E40" s="52" cm="1">
        <f t="array" aca="1" ref="E40" ca="1">_xlfn.IFS($C40&lt;$D$14,E$14,
$C40&lt;$D$15,E$15,
$C40&lt;$D$16,E$16)</f>
        <v>0.1</v>
      </c>
      <c r="F40" s="52" cm="1">
        <f t="array" aca="1" ref="F40" ca="1">_xlfn.IFS($C40&lt;$D$14,F$14,
$C40&lt;$D$15,F$15,
$C40&lt;$D$16,F$16)</f>
        <v>0.05</v>
      </c>
      <c r="G40" s="52" cm="1">
        <f t="array" aca="1" ref="G40" ca="1">_xlfn.IFS($C40&lt;$D$14,G$14,
$C40&lt;$D$15,G$15,
$C40&lt;$D$16,G$16)</f>
        <v>0.05</v>
      </c>
      <c r="H40" s="52" cm="1">
        <f t="array" aca="1" ref="H40" ca="1">_xlfn.IFS($C40&lt;$D$14,H$14,
$C40&lt;$D$15,H$15,
$C40&lt;$D$16,H$16)</f>
        <v>0.1</v>
      </c>
      <c r="I40" s="52" cm="1">
        <f t="array" aca="1" ref="I40" ca="1">_xlfn.IFS($C40&lt;$D$14,I$14,
$C40&lt;$D$15,I$15,
$C40&lt;$D$16,I$16)</f>
        <v>0</v>
      </c>
      <c r="J40" s="52"/>
      <c r="L40" s="52"/>
      <c r="M40" s="52"/>
      <c r="N40" s="52"/>
      <c r="O40" s="52" cm="1">
        <f t="array" aca="1" ref="O40" ca="1">_xlfn.IFS($C40&lt;$D$14,O$14,
$C40&lt;$D$15,O$15,
$C40&lt;$D$16,O$16)</f>
        <v>0.05</v>
      </c>
      <c r="P40" s="52" cm="1">
        <f t="array" aca="1" ref="P40" ca="1">_xlfn.IFS($C40&lt;$D$14,P$14,
$C40&lt;$D$15,P$15,
$C40&lt;$D$16,P$16)</f>
        <v>0.04</v>
      </c>
      <c r="Q40" s="52" cm="1">
        <f t="array" aca="1" ref="Q40" ca="1">_xlfn.IFS($C40&lt;$D$14,Q$14,
$C40&lt;$D$15,Q$15,
$C40&lt;$D$16,Q$16)</f>
        <v>0.08</v>
      </c>
      <c r="R40" s="52" cm="1">
        <f t="array" aca="1" ref="R40" ca="1">_xlfn.IFS($C40&lt;$D$14,R$14,
$C40&lt;$D$15,R$15,
$C40&lt;$D$16,R$16)</f>
        <v>0.06</v>
      </c>
      <c r="S40" s="52" cm="1">
        <f t="array" aca="1" ref="S40" ca="1">_xlfn.IFS($C40&lt;$D$14,S$14,
$C40&lt;$D$15,S$15,
$C40&lt;$D$16,S$16)</f>
        <v>0.04</v>
      </c>
      <c r="T40" s="52" cm="1">
        <f t="array" aca="1" ref="T40" ca="1">_xlfn.IFS($C40&lt;$D$14,T$14,
$C40&lt;$D$15,T$15,
$C40&lt;$D$16,T$16)</f>
        <v>0.05</v>
      </c>
      <c r="U40" s="52" cm="1">
        <f t="array" aca="1" ref="U40" ca="1">_xlfn.IFS($C40&lt;$D$14,U$14,
$C40&lt;$D$15,U$15,
$C40&lt;$D$16,U$16)</f>
        <v>0</v>
      </c>
      <c r="V40" s="19" cm="1">
        <f t="array" aca="1" ref="V40" ca="1">_xlfn.IFS($C40&lt;$D$14,V$14,
$C40&lt;$D$15,V$15,
$C40&lt;$D$16,V$16)</f>
        <v>10000</v>
      </c>
      <c r="W40" s="52"/>
      <c r="X40" s="52"/>
      <c r="Y40" s="52"/>
      <c r="Z40" s="52"/>
      <c r="AA40" s="52" cm="1">
        <f t="array" aca="1" ref="AA40" ca="1">_xlfn.IFS($C40&lt;$Z$14,AA$14,
$C40&lt;$Z$15,AA$15,
$C40&lt;$Z$16,AA$16)</f>
        <v>0.14000000000000001</v>
      </c>
      <c r="AB40" s="52" cm="1">
        <f t="array" aca="1" ref="AB40" ca="1">_xlfn.IFS($C40&lt;$Z$14,AB$14,
$C40&lt;$Z$15,AB$15,
$C40&lt;$Z$16,AB$16)</f>
        <v>0.16</v>
      </c>
      <c r="AC40" s="52" cm="1">
        <f t="array" aca="1" ref="AC40" ca="1">_xlfn.IFS($C40&lt;$Z$14,AC$14,
$C40&lt;$Z$15,AC$15,
$C40&lt;$Z$16,AC$16)</f>
        <v>0.2</v>
      </c>
      <c r="AD40" s="52" cm="1">
        <f t="array" aca="1" ref="AD40" ca="1">_xlfn.IFS($C40&lt;$Z$14,AD$14,
$C40&lt;$Z$15,AD$15,
$C40&lt;$Z$16,AD$16)</f>
        <v>0.05</v>
      </c>
      <c r="AE40" s="52" cm="1">
        <f t="array" aca="1" ref="AE40" ca="1">_xlfn.IFS($C40&lt;$Z$14,AE$14,
$C40&lt;$Z$15,AE$15,
$C40&lt;$Z$16,AE$16)</f>
        <v>0.03</v>
      </c>
    </row>
    <row r="41" spans="1:31" ht="14.25" customHeight="1" x14ac:dyDescent="0.3">
      <c r="A41" s="2">
        <v>40</v>
      </c>
      <c r="B41">
        <v>0.81631098496984134</v>
      </c>
      <c r="C41" s="52">
        <f t="shared" ca="1" si="0"/>
        <v>0.54523075442856972</v>
      </c>
      <c r="D41" s="2"/>
      <c r="E41" s="52" cm="1">
        <f t="array" aca="1" ref="E41" ca="1">_xlfn.IFS($C41&lt;$D$14,E$14,
$C41&lt;$D$15,E$15,
$C41&lt;$D$16,E$16)</f>
        <v>0.1</v>
      </c>
      <c r="F41" s="52" cm="1">
        <f t="array" aca="1" ref="F41" ca="1">_xlfn.IFS($C41&lt;$D$14,F$14,
$C41&lt;$D$15,F$15,
$C41&lt;$D$16,F$16)</f>
        <v>0.05</v>
      </c>
      <c r="G41" s="52" cm="1">
        <f t="array" aca="1" ref="G41" ca="1">_xlfn.IFS($C41&lt;$D$14,G$14,
$C41&lt;$D$15,G$15,
$C41&lt;$D$16,G$16)</f>
        <v>0.05</v>
      </c>
      <c r="H41" s="52" cm="1">
        <f t="array" aca="1" ref="H41" ca="1">_xlfn.IFS($C41&lt;$D$14,H$14,
$C41&lt;$D$15,H$15,
$C41&lt;$D$16,H$16)</f>
        <v>0.1</v>
      </c>
      <c r="I41" s="52" cm="1">
        <f t="array" aca="1" ref="I41" ca="1">_xlfn.IFS($C41&lt;$D$14,I$14,
$C41&lt;$D$15,I$15,
$C41&lt;$D$16,I$16)</f>
        <v>0</v>
      </c>
      <c r="J41" s="52"/>
      <c r="L41" s="52"/>
      <c r="M41" s="52"/>
      <c r="N41" s="52"/>
      <c r="O41" s="52" cm="1">
        <f t="array" aca="1" ref="O41" ca="1">_xlfn.IFS($C41&lt;$D$14,O$14,
$C41&lt;$D$15,O$15,
$C41&lt;$D$16,O$16)</f>
        <v>0.05</v>
      </c>
      <c r="P41" s="52" cm="1">
        <f t="array" aca="1" ref="P41" ca="1">_xlfn.IFS($C41&lt;$D$14,P$14,
$C41&lt;$D$15,P$15,
$C41&lt;$D$16,P$16)</f>
        <v>0.04</v>
      </c>
      <c r="Q41" s="52" cm="1">
        <f t="array" aca="1" ref="Q41" ca="1">_xlfn.IFS($C41&lt;$D$14,Q$14,
$C41&lt;$D$15,Q$15,
$C41&lt;$D$16,Q$16)</f>
        <v>0.08</v>
      </c>
      <c r="R41" s="52" cm="1">
        <f t="array" aca="1" ref="R41" ca="1">_xlfn.IFS($C41&lt;$D$14,R$14,
$C41&lt;$D$15,R$15,
$C41&lt;$D$16,R$16)</f>
        <v>0.06</v>
      </c>
      <c r="S41" s="52" cm="1">
        <f t="array" aca="1" ref="S41" ca="1">_xlfn.IFS($C41&lt;$D$14,S$14,
$C41&lt;$D$15,S$15,
$C41&lt;$D$16,S$16)</f>
        <v>0.04</v>
      </c>
      <c r="T41" s="52" cm="1">
        <f t="array" aca="1" ref="T41" ca="1">_xlfn.IFS($C41&lt;$D$14,T$14,
$C41&lt;$D$15,T$15,
$C41&lt;$D$16,T$16)</f>
        <v>0.05</v>
      </c>
      <c r="U41" s="52" cm="1">
        <f t="array" aca="1" ref="U41" ca="1">_xlfn.IFS($C41&lt;$D$14,U$14,
$C41&lt;$D$15,U$15,
$C41&lt;$D$16,U$16)</f>
        <v>0</v>
      </c>
      <c r="V41" s="19" cm="1">
        <f t="array" aca="1" ref="V41" ca="1">_xlfn.IFS($C41&lt;$D$14,V$14,
$C41&lt;$D$15,V$15,
$C41&lt;$D$16,V$16)</f>
        <v>10000</v>
      </c>
      <c r="W41" s="52"/>
      <c r="X41" s="52"/>
      <c r="Y41" s="52"/>
      <c r="Z41" s="52"/>
      <c r="AA41" s="52" cm="1">
        <f t="array" aca="1" ref="AA41" ca="1">_xlfn.IFS($C41&lt;$Z$14,AA$14,
$C41&lt;$Z$15,AA$15,
$C41&lt;$Z$16,AA$16)</f>
        <v>0.14000000000000001</v>
      </c>
      <c r="AB41" s="52" cm="1">
        <f t="array" aca="1" ref="AB41" ca="1">_xlfn.IFS($C41&lt;$Z$14,AB$14,
$C41&lt;$Z$15,AB$15,
$C41&lt;$Z$16,AB$16)</f>
        <v>0.16</v>
      </c>
      <c r="AC41" s="52" cm="1">
        <f t="array" aca="1" ref="AC41" ca="1">_xlfn.IFS($C41&lt;$Z$14,AC$14,
$C41&lt;$Z$15,AC$15,
$C41&lt;$Z$16,AC$16)</f>
        <v>0.2</v>
      </c>
      <c r="AD41" s="52" cm="1">
        <f t="array" aca="1" ref="AD41" ca="1">_xlfn.IFS($C41&lt;$Z$14,AD$14,
$C41&lt;$Z$15,AD$15,
$C41&lt;$Z$16,AD$16)</f>
        <v>0.05</v>
      </c>
      <c r="AE41" s="52" cm="1">
        <f t="array" aca="1" ref="AE41" ca="1">_xlfn.IFS($C41&lt;$Z$14,AE$14,
$C41&lt;$Z$15,AE$15,
$C41&lt;$Z$16,AE$16)</f>
        <v>0.03</v>
      </c>
    </row>
    <row r="42" spans="1:31" ht="14.25" customHeight="1" x14ac:dyDescent="0.3">
      <c r="A42" s="2">
        <v>41</v>
      </c>
      <c r="B42">
        <v>0.27537450240671346</v>
      </c>
      <c r="C42" s="52">
        <f t="shared" ca="1" si="0"/>
        <v>0.29828435096288863</v>
      </c>
      <c r="D42" s="2"/>
      <c r="E42" s="52" cm="1">
        <f t="array" aca="1" ref="E42" ca="1">_xlfn.IFS($C42&lt;$D$14,E$14,
$C42&lt;$D$15,E$15,
$C42&lt;$D$16,E$16)</f>
        <v>0.1</v>
      </c>
      <c r="F42" s="52" cm="1">
        <f t="array" aca="1" ref="F42" ca="1">_xlfn.IFS($C42&lt;$D$14,F$14,
$C42&lt;$D$15,F$15,
$C42&lt;$D$16,F$16)</f>
        <v>0.05</v>
      </c>
      <c r="G42" s="52" cm="1">
        <f t="array" aca="1" ref="G42" ca="1">_xlfn.IFS($C42&lt;$D$14,G$14,
$C42&lt;$D$15,G$15,
$C42&lt;$D$16,G$16)</f>
        <v>0.05</v>
      </c>
      <c r="H42" s="52" cm="1">
        <f t="array" aca="1" ref="H42" ca="1">_xlfn.IFS($C42&lt;$D$14,H$14,
$C42&lt;$D$15,H$15,
$C42&lt;$D$16,H$16)</f>
        <v>0.1</v>
      </c>
      <c r="I42" s="52" cm="1">
        <f t="array" aca="1" ref="I42" ca="1">_xlfn.IFS($C42&lt;$D$14,I$14,
$C42&lt;$D$15,I$15,
$C42&lt;$D$16,I$16)</f>
        <v>0</v>
      </c>
      <c r="J42" s="52"/>
      <c r="L42" s="52"/>
      <c r="M42" s="52"/>
      <c r="N42" s="52"/>
      <c r="O42" s="52" cm="1">
        <f t="array" aca="1" ref="O42" ca="1">_xlfn.IFS($C42&lt;$D$14,O$14,
$C42&lt;$D$15,O$15,
$C42&lt;$D$16,O$16)</f>
        <v>0.05</v>
      </c>
      <c r="P42" s="52" cm="1">
        <f t="array" aca="1" ref="P42" ca="1">_xlfn.IFS($C42&lt;$D$14,P$14,
$C42&lt;$D$15,P$15,
$C42&lt;$D$16,P$16)</f>
        <v>0.04</v>
      </c>
      <c r="Q42" s="52" cm="1">
        <f t="array" aca="1" ref="Q42" ca="1">_xlfn.IFS($C42&lt;$D$14,Q$14,
$C42&lt;$D$15,Q$15,
$C42&lt;$D$16,Q$16)</f>
        <v>0.08</v>
      </c>
      <c r="R42" s="52" cm="1">
        <f t="array" aca="1" ref="R42" ca="1">_xlfn.IFS($C42&lt;$D$14,R$14,
$C42&lt;$D$15,R$15,
$C42&lt;$D$16,R$16)</f>
        <v>0.06</v>
      </c>
      <c r="S42" s="52" cm="1">
        <f t="array" aca="1" ref="S42" ca="1">_xlfn.IFS($C42&lt;$D$14,S$14,
$C42&lt;$D$15,S$15,
$C42&lt;$D$16,S$16)</f>
        <v>0.04</v>
      </c>
      <c r="T42" s="52" cm="1">
        <f t="array" aca="1" ref="T42" ca="1">_xlfn.IFS($C42&lt;$D$14,T$14,
$C42&lt;$D$15,T$15,
$C42&lt;$D$16,T$16)</f>
        <v>0.05</v>
      </c>
      <c r="U42" s="52" cm="1">
        <f t="array" aca="1" ref="U42" ca="1">_xlfn.IFS($C42&lt;$D$14,U$14,
$C42&lt;$D$15,U$15,
$C42&lt;$D$16,U$16)</f>
        <v>0</v>
      </c>
      <c r="V42" s="19" cm="1">
        <f t="array" aca="1" ref="V42" ca="1">_xlfn.IFS($C42&lt;$D$14,V$14,
$C42&lt;$D$15,V$15,
$C42&lt;$D$16,V$16)</f>
        <v>10000</v>
      </c>
      <c r="W42" s="52"/>
      <c r="X42" s="52"/>
      <c r="Y42" s="52"/>
      <c r="Z42" s="52"/>
      <c r="AA42" s="52" cm="1">
        <f t="array" aca="1" ref="AA42" ca="1">_xlfn.IFS($C42&lt;$Z$14,AA$14,
$C42&lt;$Z$15,AA$15,
$C42&lt;$Z$16,AA$16)</f>
        <v>0.14000000000000001</v>
      </c>
      <c r="AB42" s="52" cm="1">
        <f t="array" aca="1" ref="AB42" ca="1">_xlfn.IFS($C42&lt;$Z$14,AB$14,
$C42&lt;$Z$15,AB$15,
$C42&lt;$Z$16,AB$16)</f>
        <v>0.16</v>
      </c>
      <c r="AC42" s="52" cm="1">
        <f t="array" aca="1" ref="AC42" ca="1">_xlfn.IFS($C42&lt;$Z$14,AC$14,
$C42&lt;$Z$15,AC$15,
$C42&lt;$Z$16,AC$16)</f>
        <v>0.2</v>
      </c>
      <c r="AD42" s="52" cm="1">
        <f t="array" aca="1" ref="AD42" ca="1">_xlfn.IFS($C42&lt;$Z$14,AD$14,
$C42&lt;$Z$15,AD$15,
$C42&lt;$Z$16,AD$16)</f>
        <v>0.05</v>
      </c>
      <c r="AE42" s="52" cm="1">
        <f t="array" aca="1" ref="AE42" ca="1">_xlfn.IFS($C42&lt;$Z$14,AE$14,
$C42&lt;$Z$15,AE$15,
$C42&lt;$Z$16,AE$16)</f>
        <v>0.03</v>
      </c>
    </row>
    <row r="43" spans="1:31" ht="14.25" customHeight="1" x14ac:dyDescent="0.3">
      <c r="A43" s="2">
        <v>42</v>
      </c>
      <c r="B43">
        <v>0.93830517701153926</v>
      </c>
      <c r="C43" s="52">
        <f t="shared" ca="1" si="0"/>
        <v>0.81066832733948579</v>
      </c>
      <c r="D43" s="2"/>
      <c r="E43" s="52" cm="1">
        <f t="array" aca="1" ref="E43" ca="1">_xlfn.IFS($C43&lt;$D$14,E$14,
$C43&lt;$D$15,E$15,
$C43&lt;$D$16,E$16)</f>
        <v>7.0000000000000007E-2</v>
      </c>
      <c r="F43" s="52" cm="1">
        <f t="array" aca="1" ref="F43" ca="1">_xlfn.IFS($C43&lt;$D$14,F$14,
$C43&lt;$D$15,F$15,
$C43&lt;$D$16,F$16)</f>
        <v>0.05</v>
      </c>
      <c r="G43" s="52" cm="1">
        <f t="array" aca="1" ref="G43" ca="1">_xlfn.IFS($C43&lt;$D$14,G$14,
$C43&lt;$D$15,G$15,
$C43&lt;$D$16,G$16)</f>
        <v>0.05</v>
      </c>
      <c r="H43" s="52" cm="1">
        <f t="array" aca="1" ref="H43" ca="1">_xlfn.IFS($C43&lt;$D$14,H$14,
$C43&lt;$D$15,H$15,
$C43&lt;$D$16,H$16)</f>
        <v>0.05</v>
      </c>
      <c r="I43" s="52" cm="1">
        <f t="array" aca="1" ref="I43" ca="1">_xlfn.IFS($C43&lt;$D$14,I$14,
$C43&lt;$D$15,I$15,
$C43&lt;$D$16,I$16)</f>
        <v>0</v>
      </c>
      <c r="J43" s="52"/>
      <c r="L43" s="52"/>
      <c r="M43" s="52"/>
      <c r="N43" s="52"/>
      <c r="O43" s="52" cm="1">
        <f t="array" aca="1" ref="O43" ca="1">_xlfn.IFS($C43&lt;$D$14,O$14,
$C43&lt;$D$15,O$15,
$C43&lt;$D$16,O$16)</f>
        <v>0.06</v>
      </c>
      <c r="P43" s="52" cm="1">
        <f t="array" aca="1" ref="P43" ca="1">_xlfn.IFS($C43&lt;$D$14,P$14,
$C43&lt;$D$15,P$15,
$C43&lt;$D$16,P$16)</f>
        <v>0.05</v>
      </c>
      <c r="Q43" s="52" cm="1">
        <f t="array" aca="1" ref="Q43" ca="1">_xlfn.IFS($C43&lt;$D$14,Q$14,
$C43&lt;$D$15,Q$15,
$C43&lt;$D$16,Q$16)</f>
        <v>0.05</v>
      </c>
      <c r="R43" s="52" cm="1">
        <f t="array" aca="1" ref="R43" ca="1">_xlfn.IFS($C43&lt;$D$14,R$14,
$C43&lt;$D$15,R$15,
$C43&lt;$D$16,R$16)</f>
        <v>0.06</v>
      </c>
      <c r="S43" s="52" cm="1">
        <f t="array" aca="1" ref="S43" ca="1">_xlfn.IFS($C43&lt;$D$14,S$14,
$C43&lt;$D$15,S$15,
$C43&lt;$D$16,S$16)</f>
        <v>0.04</v>
      </c>
      <c r="T43" s="52" cm="1">
        <f t="array" aca="1" ref="T43" ca="1">_xlfn.IFS($C43&lt;$D$14,T$14,
$C43&lt;$D$15,T$15,
$C43&lt;$D$16,T$16)</f>
        <v>0.04</v>
      </c>
      <c r="U43" s="52" cm="1">
        <f t="array" aca="1" ref="U43" ca="1">_xlfn.IFS($C43&lt;$D$14,U$14,
$C43&lt;$D$15,U$15,
$C43&lt;$D$16,U$16)</f>
        <v>0</v>
      </c>
      <c r="V43" s="19" cm="1">
        <f t="array" aca="1" ref="V43" ca="1">_xlfn.IFS($C43&lt;$D$14,V$14,
$C43&lt;$D$15,V$15,
$C43&lt;$D$16,V$16)</f>
        <v>15000</v>
      </c>
      <c r="W43" s="52"/>
      <c r="X43" s="52"/>
      <c r="Y43" s="52"/>
      <c r="Z43" s="52"/>
      <c r="AA43" s="52" cm="1">
        <f t="array" aca="1" ref="AA43" ca="1">_xlfn.IFS($C43&lt;$Z$14,AA$14,
$C43&lt;$Z$15,AA$15,
$C43&lt;$Z$16,AA$16)</f>
        <v>0.12</v>
      </c>
      <c r="AB43" s="52" cm="1">
        <f t="array" aca="1" ref="AB43" ca="1">_xlfn.IFS($C43&lt;$Z$14,AB$14,
$C43&lt;$Z$15,AB$15,
$C43&lt;$Z$16,AB$16)</f>
        <v>0.14000000000000001</v>
      </c>
      <c r="AC43" s="52" cm="1">
        <f t="array" aca="1" ref="AC43" ca="1">_xlfn.IFS($C43&lt;$Z$14,AC$14,
$C43&lt;$Z$15,AC$15,
$C43&lt;$Z$16,AC$16)</f>
        <v>0.16</v>
      </c>
      <c r="AD43" s="52" cm="1">
        <f t="array" aca="1" ref="AD43" ca="1">_xlfn.IFS($C43&lt;$Z$14,AD$14,
$C43&lt;$Z$15,AD$15,
$C43&lt;$Z$16,AD$16)</f>
        <v>0.05</v>
      </c>
      <c r="AE43" s="52" cm="1">
        <f t="array" aca="1" ref="AE43" ca="1">_xlfn.IFS($C43&lt;$Z$14,AE$14,
$C43&lt;$Z$15,AE$15,
$C43&lt;$Z$16,AE$16)</f>
        <v>0.03</v>
      </c>
    </row>
    <row r="44" spans="1:31" ht="14.25" customHeight="1" x14ac:dyDescent="0.3">
      <c r="A44" s="2">
        <v>43</v>
      </c>
      <c r="B44">
        <v>0.31831370208480503</v>
      </c>
      <c r="C44" s="52">
        <f t="shared" ca="1" si="0"/>
        <v>0.75639573778710378</v>
      </c>
      <c r="D44" s="2"/>
      <c r="E44" s="52" cm="1">
        <f t="array" aca="1" ref="E44" ca="1">_xlfn.IFS($C44&lt;$D$14,E$14,
$C44&lt;$D$15,E$15,
$C44&lt;$D$16,E$16)</f>
        <v>0.1</v>
      </c>
      <c r="F44" s="52" cm="1">
        <f t="array" aca="1" ref="F44" ca="1">_xlfn.IFS($C44&lt;$D$14,F$14,
$C44&lt;$D$15,F$15,
$C44&lt;$D$16,F$16)</f>
        <v>0.05</v>
      </c>
      <c r="G44" s="52" cm="1">
        <f t="array" aca="1" ref="G44" ca="1">_xlfn.IFS($C44&lt;$D$14,G$14,
$C44&lt;$D$15,G$15,
$C44&lt;$D$16,G$16)</f>
        <v>0.05</v>
      </c>
      <c r="H44" s="52" cm="1">
        <f t="array" aca="1" ref="H44" ca="1">_xlfn.IFS($C44&lt;$D$14,H$14,
$C44&lt;$D$15,H$15,
$C44&lt;$D$16,H$16)</f>
        <v>0.1</v>
      </c>
      <c r="I44" s="52" cm="1">
        <f t="array" aca="1" ref="I44" ca="1">_xlfn.IFS($C44&lt;$D$14,I$14,
$C44&lt;$D$15,I$15,
$C44&lt;$D$16,I$16)</f>
        <v>0</v>
      </c>
      <c r="J44" s="52"/>
      <c r="L44" s="52"/>
      <c r="M44" s="52"/>
      <c r="N44" s="52"/>
      <c r="O44" s="52" cm="1">
        <f t="array" aca="1" ref="O44" ca="1">_xlfn.IFS($C44&lt;$D$14,O$14,
$C44&lt;$D$15,O$15,
$C44&lt;$D$16,O$16)</f>
        <v>0.05</v>
      </c>
      <c r="P44" s="52" cm="1">
        <f t="array" aca="1" ref="P44" ca="1">_xlfn.IFS($C44&lt;$D$14,P$14,
$C44&lt;$D$15,P$15,
$C44&lt;$D$16,P$16)</f>
        <v>0.04</v>
      </c>
      <c r="Q44" s="52" cm="1">
        <f t="array" aca="1" ref="Q44" ca="1">_xlfn.IFS($C44&lt;$D$14,Q$14,
$C44&lt;$D$15,Q$15,
$C44&lt;$D$16,Q$16)</f>
        <v>0.08</v>
      </c>
      <c r="R44" s="52" cm="1">
        <f t="array" aca="1" ref="R44" ca="1">_xlfn.IFS($C44&lt;$D$14,R$14,
$C44&lt;$D$15,R$15,
$C44&lt;$D$16,R$16)</f>
        <v>0.06</v>
      </c>
      <c r="S44" s="52" cm="1">
        <f t="array" aca="1" ref="S44" ca="1">_xlfn.IFS($C44&lt;$D$14,S$14,
$C44&lt;$D$15,S$15,
$C44&lt;$D$16,S$16)</f>
        <v>0.04</v>
      </c>
      <c r="T44" s="52" cm="1">
        <f t="array" aca="1" ref="T44" ca="1">_xlfn.IFS($C44&lt;$D$14,T$14,
$C44&lt;$D$15,T$15,
$C44&lt;$D$16,T$16)</f>
        <v>0.05</v>
      </c>
      <c r="U44" s="52" cm="1">
        <f t="array" aca="1" ref="U44" ca="1">_xlfn.IFS($C44&lt;$D$14,U$14,
$C44&lt;$D$15,U$15,
$C44&lt;$D$16,U$16)</f>
        <v>0</v>
      </c>
      <c r="V44" s="19" cm="1">
        <f t="array" aca="1" ref="V44" ca="1">_xlfn.IFS($C44&lt;$D$14,V$14,
$C44&lt;$D$15,V$15,
$C44&lt;$D$16,V$16)</f>
        <v>10000</v>
      </c>
      <c r="W44" s="52"/>
      <c r="X44" s="52"/>
      <c r="Y44" s="52"/>
      <c r="Z44" s="52"/>
      <c r="AA44" s="52" cm="1">
        <f t="array" aca="1" ref="AA44" ca="1">_xlfn.IFS($C44&lt;$Z$14,AA$14,
$C44&lt;$Z$15,AA$15,
$C44&lt;$Z$16,AA$16)</f>
        <v>0.14000000000000001</v>
      </c>
      <c r="AB44" s="52" cm="1">
        <f t="array" aca="1" ref="AB44" ca="1">_xlfn.IFS($C44&lt;$Z$14,AB$14,
$C44&lt;$Z$15,AB$15,
$C44&lt;$Z$16,AB$16)</f>
        <v>0.16</v>
      </c>
      <c r="AC44" s="52" cm="1">
        <f t="array" aca="1" ref="AC44" ca="1">_xlfn.IFS($C44&lt;$Z$14,AC$14,
$C44&lt;$Z$15,AC$15,
$C44&lt;$Z$16,AC$16)</f>
        <v>0.2</v>
      </c>
      <c r="AD44" s="52" cm="1">
        <f t="array" aca="1" ref="AD44" ca="1">_xlfn.IFS($C44&lt;$Z$14,AD$14,
$C44&lt;$Z$15,AD$15,
$C44&lt;$Z$16,AD$16)</f>
        <v>0.05</v>
      </c>
      <c r="AE44" s="52" cm="1">
        <f t="array" aca="1" ref="AE44" ca="1">_xlfn.IFS($C44&lt;$Z$14,AE$14,
$C44&lt;$Z$15,AE$15,
$C44&lt;$Z$16,AE$16)</f>
        <v>0.03</v>
      </c>
    </row>
    <row r="45" spans="1:31" ht="14.25" customHeight="1" x14ac:dyDescent="0.3">
      <c r="A45" s="2">
        <v>44</v>
      </c>
      <c r="B45">
        <v>0.57252246978248889</v>
      </c>
      <c r="C45" s="52">
        <f t="shared" ca="1" si="0"/>
        <v>0.95813752451757728</v>
      </c>
      <c r="D45" s="2"/>
      <c r="E45" s="52" cm="1">
        <f t="array" aca="1" ref="E45" ca="1">_xlfn.IFS($C45&lt;$D$14,E$14,
$C45&lt;$D$15,E$15,
$C45&lt;$D$16,E$16)</f>
        <v>0.04</v>
      </c>
      <c r="F45" s="52" cm="1">
        <f t="array" aca="1" ref="F45" ca="1">_xlfn.IFS($C45&lt;$D$14,F$14,
$C45&lt;$D$15,F$15,
$C45&lt;$D$16,F$16)</f>
        <v>0.05</v>
      </c>
      <c r="G45" s="52" cm="1">
        <f t="array" aca="1" ref="G45" ca="1">_xlfn.IFS($C45&lt;$D$14,G$14,
$C45&lt;$D$15,G$15,
$C45&lt;$D$16,G$16)</f>
        <v>0.05</v>
      </c>
      <c r="H45" s="52" cm="1">
        <f t="array" aca="1" ref="H45" ca="1">_xlfn.IFS($C45&lt;$D$14,H$14,
$C45&lt;$D$15,H$15,
$C45&lt;$D$16,H$16)</f>
        <v>0.01</v>
      </c>
      <c r="I45" s="52" cm="1">
        <f t="array" aca="1" ref="I45" ca="1">_xlfn.IFS($C45&lt;$D$14,I$14,
$C45&lt;$D$15,I$15,
$C45&lt;$D$16,I$16)</f>
        <v>0</v>
      </c>
      <c r="J45" s="52"/>
      <c r="L45" s="52"/>
      <c r="M45" s="52"/>
      <c r="N45" s="52"/>
      <c r="O45" s="52" cm="1">
        <f t="array" aca="1" ref="O45" ca="1">_xlfn.IFS($C45&lt;$D$14,O$14,
$C45&lt;$D$15,O$15,
$C45&lt;$D$16,O$16)</f>
        <v>0.08</v>
      </c>
      <c r="P45" s="52" cm="1">
        <f t="array" aca="1" ref="P45" ca="1">_xlfn.IFS($C45&lt;$D$14,P$14,
$C45&lt;$D$15,P$15,
$C45&lt;$D$16,P$16)</f>
        <v>7.0000000000000007E-2</v>
      </c>
      <c r="Q45" s="52" cm="1">
        <f t="array" aca="1" ref="Q45" ca="1">_xlfn.IFS($C45&lt;$D$14,Q$14,
$C45&lt;$D$15,Q$15,
$C45&lt;$D$16,Q$16)</f>
        <v>0.1</v>
      </c>
      <c r="R45" s="52" cm="1">
        <f t="array" aca="1" ref="R45" ca="1">_xlfn.IFS($C45&lt;$D$14,R$14,
$C45&lt;$D$15,R$15,
$C45&lt;$D$16,R$16)</f>
        <v>0.06</v>
      </c>
      <c r="S45" s="52" cm="1">
        <f t="array" aca="1" ref="S45" ca="1">_xlfn.IFS($C45&lt;$D$14,S$14,
$C45&lt;$D$15,S$15,
$C45&lt;$D$16,S$16)</f>
        <v>0.04</v>
      </c>
      <c r="T45" s="52" cm="1">
        <f t="array" aca="1" ref="T45" ca="1">_xlfn.IFS($C45&lt;$D$14,T$14,
$C45&lt;$D$15,T$15,
$C45&lt;$D$16,T$16)</f>
        <v>0.08</v>
      </c>
      <c r="U45" s="52" cm="1">
        <f t="array" aca="1" ref="U45" ca="1">_xlfn.IFS($C45&lt;$D$14,U$14,
$C45&lt;$D$15,U$15,
$C45&lt;$D$16,U$16)</f>
        <v>0</v>
      </c>
      <c r="V45" s="19" cm="1">
        <f t="array" aca="1" ref="V45" ca="1">_xlfn.IFS($C45&lt;$D$14,V$14,
$C45&lt;$D$15,V$15,
$C45&lt;$D$16,V$16)</f>
        <v>30000</v>
      </c>
      <c r="W45" s="52"/>
      <c r="X45" s="52"/>
      <c r="Y45" s="52"/>
      <c r="Z45" s="52"/>
      <c r="AA45" s="52" cm="1">
        <f t="array" aca="1" ref="AA45" ca="1">_xlfn.IFS($C45&lt;$Z$14,AA$14,
$C45&lt;$Z$15,AA$15,
$C45&lt;$Z$16,AA$16)</f>
        <v>0.09</v>
      </c>
      <c r="AB45" s="52" cm="1">
        <f t="array" aca="1" ref="AB45" ca="1">_xlfn.IFS($C45&lt;$Z$14,AB$14,
$C45&lt;$Z$15,AB$15,
$C45&lt;$Z$16,AB$16)</f>
        <v>0.12</v>
      </c>
      <c r="AC45" s="52" cm="1">
        <f t="array" aca="1" ref="AC45" ca="1">_xlfn.IFS($C45&lt;$Z$14,AC$14,
$C45&lt;$Z$15,AC$15,
$C45&lt;$Z$16,AC$16)</f>
        <v>0.14000000000000001</v>
      </c>
      <c r="AD45" s="52" cm="1">
        <f t="array" aca="1" ref="AD45" ca="1">_xlfn.IFS($C45&lt;$Z$14,AD$14,
$C45&lt;$Z$15,AD$15,
$C45&lt;$Z$16,AD$16)</f>
        <v>0.05</v>
      </c>
      <c r="AE45" s="52" cm="1">
        <f t="array" aca="1" ref="AE45" ca="1">_xlfn.IFS($C45&lt;$Z$14,AE$14,
$C45&lt;$Z$15,AE$15,
$C45&lt;$Z$16,AE$16)</f>
        <v>0.03</v>
      </c>
    </row>
    <row r="46" spans="1:31" ht="14.25" customHeight="1" x14ac:dyDescent="0.3">
      <c r="A46" s="2">
        <v>45</v>
      </c>
      <c r="B46">
        <v>0.30615412164759626</v>
      </c>
      <c r="C46" s="52">
        <f t="shared" ca="1" si="0"/>
        <v>0.50335329172873955</v>
      </c>
      <c r="D46" s="2"/>
      <c r="E46" s="52" cm="1">
        <f t="array" aca="1" ref="E46" ca="1">_xlfn.IFS($C46&lt;$D$14,E$14,
$C46&lt;$D$15,E$15,
$C46&lt;$D$16,E$16)</f>
        <v>0.1</v>
      </c>
      <c r="F46" s="52" cm="1">
        <f t="array" aca="1" ref="F46" ca="1">_xlfn.IFS($C46&lt;$D$14,F$14,
$C46&lt;$D$15,F$15,
$C46&lt;$D$16,F$16)</f>
        <v>0.05</v>
      </c>
      <c r="G46" s="52" cm="1">
        <f t="array" aca="1" ref="G46" ca="1">_xlfn.IFS($C46&lt;$D$14,G$14,
$C46&lt;$D$15,G$15,
$C46&lt;$D$16,G$16)</f>
        <v>0.05</v>
      </c>
      <c r="H46" s="52" cm="1">
        <f t="array" aca="1" ref="H46" ca="1">_xlfn.IFS($C46&lt;$D$14,H$14,
$C46&lt;$D$15,H$15,
$C46&lt;$D$16,H$16)</f>
        <v>0.1</v>
      </c>
      <c r="I46" s="52" cm="1">
        <f t="array" aca="1" ref="I46" ca="1">_xlfn.IFS($C46&lt;$D$14,I$14,
$C46&lt;$D$15,I$15,
$C46&lt;$D$16,I$16)</f>
        <v>0</v>
      </c>
      <c r="J46" s="52"/>
      <c r="L46" s="52"/>
      <c r="M46" s="52"/>
      <c r="N46" s="52"/>
      <c r="O46" s="52" cm="1">
        <f t="array" aca="1" ref="O46" ca="1">_xlfn.IFS($C46&lt;$D$14,O$14,
$C46&lt;$D$15,O$15,
$C46&lt;$D$16,O$16)</f>
        <v>0.05</v>
      </c>
      <c r="P46" s="52" cm="1">
        <f t="array" aca="1" ref="P46" ca="1">_xlfn.IFS($C46&lt;$D$14,P$14,
$C46&lt;$D$15,P$15,
$C46&lt;$D$16,P$16)</f>
        <v>0.04</v>
      </c>
      <c r="Q46" s="52" cm="1">
        <f t="array" aca="1" ref="Q46" ca="1">_xlfn.IFS($C46&lt;$D$14,Q$14,
$C46&lt;$D$15,Q$15,
$C46&lt;$D$16,Q$16)</f>
        <v>0.08</v>
      </c>
      <c r="R46" s="52" cm="1">
        <f t="array" aca="1" ref="R46" ca="1">_xlfn.IFS($C46&lt;$D$14,R$14,
$C46&lt;$D$15,R$15,
$C46&lt;$D$16,R$16)</f>
        <v>0.06</v>
      </c>
      <c r="S46" s="52" cm="1">
        <f t="array" aca="1" ref="S46" ca="1">_xlfn.IFS($C46&lt;$D$14,S$14,
$C46&lt;$D$15,S$15,
$C46&lt;$D$16,S$16)</f>
        <v>0.04</v>
      </c>
      <c r="T46" s="52" cm="1">
        <f t="array" aca="1" ref="T46" ca="1">_xlfn.IFS($C46&lt;$D$14,T$14,
$C46&lt;$D$15,T$15,
$C46&lt;$D$16,T$16)</f>
        <v>0.05</v>
      </c>
      <c r="U46" s="52" cm="1">
        <f t="array" aca="1" ref="U46" ca="1">_xlfn.IFS($C46&lt;$D$14,U$14,
$C46&lt;$D$15,U$15,
$C46&lt;$D$16,U$16)</f>
        <v>0</v>
      </c>
      <c r="V46" s="19" cm="1">
        <f t="array" aca="1" ref="V46" ca="1">_xlfn.IFS($C46&lt;$D$14,V$14,
$C46&lt;$D$15,V$15,
$C46&lt;$D$16,V$16)</f>
        <v>10000</v>
      </c>
      <c r="W46" s="52"/>
      <c r="X46" s="52"/>
      <c r="Y46" s="52"/>
      <c r="Z46" s="52"/>
      <c r="AA46" s="52" cm="1">
        <f t="array" aca="1" ref="AA46" ca="1">_xlfn.IFS($C46&lt;$Z$14,AA$14,
$C46&lt;$Z$15,AA$15,
$C46&lt;$Z$16,AA$16)</f>
        <v>0.14000000000000001</v>
      </c>
      <c r="AB46" s="52" cm="1">
        <f t="array" aca="1" ref="AB46" ca="1">_xlfn.IFS($C46&lt;$Z$14,AB$14,
$C46&lt;$Z$15,AB$15,
$C46&lt;$Z$16,AB$16)</f>
        <v>0.16</v>
      </c>
      <c r="AC46" s="52" cm="1">
        <f t="array" aca="1" ref="AC46" ca="1">_xlfn.IFS($C46&lt;$Z$14,AC$14,
$C46&lt;$Z$15,AC$15,
$C46&lt;$Z$16,AC$16)</f>
        <v>0.2</v>
      </c>
      <c r="AD46" s="52" cm="1">
        <f t="array" aca="1" ref="AD46" ca="1">_xlfn.IFS($C46&lt;$Z$14,AD$14,
$C46&lt;$Z$15,AD$15,
$C46&lt;$Z$16,AD$16)</f>
        <v>0.05</v>
      </c>
      <c r="AE46" s="52" cm="1">
        <f t="array" aca="1" ref="AE46" ca="1">_xlfn.IFS($C46&lt;$Z$14,AE$14,
$C46&lt;$Z$15,AE$15,
$C46&lt;$Z$16,AE$16)</f>
        <v>0.03</v>
      </c>
    </row>
    <row r="47" spans="1:31" ht="14.25" customHeight="1" x14ac:dyDescent="0.3">
      <c r="A47" s="2">
        <v>46</v>
      </c>
      <c r="B47">
        <v>0.24905620892547742</v>
      </c>
      <c r="C47" s="52">
        <f t="shared" ca="1" si="0"/>
        <v>0.21574821668775712</v>
      </c>
      <c r="D47" s="2"/>
      <c r="E47" s="52" cm="1">
        <f t="array" aca="1" ref="E47" ca="1">_xlfn.IFS($C47&lt;$D$14,E$14,
$C47&lt;$D$15,E$15,
$C47&lt;$D$16,E$16)</f>
        <v>0.1</v>
      </c>
      <c r="F47" s="52" cm="1">
        <f t="array" aca="1" ref="F47" ca="1">_xlfn.IFS($C47&lt;$D$14,F$14,
$C47&lt;$D$15,F$15,
$C47&lt;$D$16,F$16)</f>
        <v>0.05</v>
      </c>
      <c r="G47" s="52" cm="1">
        <f t="array" aca="1" ref="G47" ca="1">_xlfn.IFS($C47&lt;$D$14,G$14,
$C47&lt;$D$15,G$15,
$C47&lt;$D$16,G$16)</f>
        <v>0.05</v>
      </c>
      <c r="H47" s="52" cm="1">
        <f t="array" aca="1" ref="H47" ca="1">_xlfn.IFS($C47&lt;$D$14,H$14,
$C47&lt;$D$15,H$15,
$C47&lt;$D$16,H$16)</f>
        <v>0.1</v>
      </c>
      <c r="I47" s="52" cm="1">
        <f t="array" aca="1" ref="I47" ca="1">_xlfn.IFS($C47&lt;$D$14,I$14,
$C47&lt;$D$15,I$15,
$C47&lt;$D$16,I$16)</f>
        <v>0</v>
      </c>
      <c r="J47" s="52"/>
      <c r="L47" s="52"/>
      <c r="M47" s="52"/>
      <c r="N47" s="52"/>
      <c r="O47" s="52" cm="1">
        <f t="array" aca="1" ref="O47" ca="1">_xlfn.IFS($C47&lt;$D$14,O$14,
$C47&lt;$D$15,O$15,
$C47&lt;$D$16,O$16)</f>
        <v>0.05</v>
      </c>
      <c r="P47" s="52" cm="1">
        <f t="array" aca="1" ref="P47" ca="1">_xlfn.IFS($C47&lt;$D$14,P$14,
$C47&lt;$D$15,P$15,
$C47&lt;$D$16,P$16)</f>
        <v>0.04</v>
      </c>
      <c r="Q47" s="52" cm="1">
        <f t="array" aca="1" ref="Q47" ca="1">_xlfn.IFS($C47&lt;$D$14,Q$14,
$C47&lt;$D$15,Q$15,
$C47&lt;$D$16,Q$16)</f>
        <v>0.08</v>
      </c>
      <c r="R47" s="52" cm="1">
        <f t="array" aca="1" ref="R47" ca="1">_xlfn.IFS($C47&lt;$D$14,R$14,
$C47&lt;$D$15,R$15,
$C47&lt;$D$16,R$16)</f>
        <v>0.06</v>
      </c>
      <c r="S47" s="52" cm="1">
        <f t="array" aca="1" ref="S47" ca="1">_xlfn.IFS($C47&lt;$D$14,S$14,
$C47&lt;$D$15,S$15,
$C47&lt;$D$16,S$16)</f>
        <v>0.04</v>
      </c>
      <c r="T47" s="52" cm="1">
        <f t="array" aca="1" ref="T47" ca="1">_xlfn.IFS($C47&lt;$D$14,T$14,
$C47&lt;$D$15,T$15,
$C47&lt;$D$16,T$16)</f>
        <v>0.05</v>
      </c>
      <c r="U47" s="52" cm="1">
        <f t="array" aca="1" ref="U47" ca="1">_xlfn.IFS($C47&lt;$D$14,U$14,
$C47&lt;$D$15,U$15,
$C47&lt;$D$16,U$16)</f>
        <v>0</v>
      </c>
      <c r="V47" s="19" cm="1">
        <f t="array" aca="1" ref="V47" ca="1">_xlfn.IFS($C47&lt;$D$14,V$14,
$C47&lt;$D$15,V$15,
$C47&lt;$D$16,V$16)</f>
        <v>10000</v>
      </c>
      <c r="W47" s="52"/>
      <c r="X47" s="52"/>
      <c r="Y47" s="52"/>
      <c r="Z47" s="52"/>
      <c r="AA47" s="52" cm="1">
        <f t="array" aca="1" ref="AA47" ca="1">_xlfn.IFS($C47&lt;$Z$14,AA$14,
$C47&lt;$Z$15,AA$15,
$C47&lt;$Z$16,AA$16)</f>
        <v>0.14000000000000001</v>
      </c>
      <c r="AB47" s="52" cm="1">
        <f t="array" aca="1" ref="AB47" ca="1">_xlfn.IFS($C47&lt;$Z$14,AB$14,
$C47&lt;$Z$15,AB$15,
$C47&lt;$Z$16,AB$16)</f>
        <v>0.16</v>
      </c>
      <c r="AC47" s="52" cm="1">
        <f t="array" aca="1" ref="AC47" ca="1">_xlfn.IFS($C47&lt;$Z$14,AC$14,
$C47&lt;$Z$15,AC$15,
$C47&lt;$Z$16,AC$16)</f>
        <v>0.2</v>
      </c>
      <c r="AD47" s="52" cm="1">
        <f t="array" aca="1" ref="AD47" ca="1">_xlfn.IFS($C47&lt;$Z$14,AD$14,
$C47&lt;$Z$15,AD$15,
$C47&lt;$Z$16,AD$16)</f>
        <v>0.05</v>
      </c>
      <c r="AE47" s="52" cm="1">
        <f t="array" aca="1" ref="AE47" ca="1">_xlfn.IFS($C47&lt;$Z$14,AE$14,
$C47&lt;$Z$15,AE$15,
$C47&lt;$Z$16,AE$16)</f>
        <v>0.03</v>
      </c>
    </row>
    <row r="48" spans="1:31" ht="14.25" customHeight="1" x14ac:dyDescent="0.3">
      <c r="A48" s="2">
        <v>47</v>
      </c>
      <c r="B48">
        <v>0.50428095915171978</v>
      </c>
      <c r="C48" s="52">
        <f t="shared" ca="1" si="0"/>
        <v>0.56892645157251187</v>
      </c>
      <c r="D48" s="2"/>
      <c r="E48" s="52" cm="1">
        <f t="array" aca="1" ref="E48" ca="1">_xlfn.IFS($C48&lt;$D$14,E$14,
$C48&lt;$D$15,E$15,
$C48&lt;$D$16,E$16)</f>
        <v>0.1</v>
      </c>
      <c r="F48" s="52" cm="1">
        <f t="array" aca="1" ref="F48" ca="1">_xlfn.IFS($C48&lt;$D$14,F$14,
$C48&lt;$D$15,F$15,
$C48&lt;$D$16,F$16)</f>
        <v>0.05</v>
      </c>
      <c r="G48" s="52" cm="1">
        <f t="array" aca="1" ref="G48" ca="1">_xlfn.IFS($C48&lt;$D$14,G$14,
$C48&lt;$D$15,G$15,
$C48&lt;$D$16,G$16)</f>
        <v>0.05</v>
      </c>
      <c r="H48" s="52" cm="1">
        <f t="array" aca="1" ref="H48" ca="1">_xlfn.IFS($C48&lt;$D$14,H$14,
$C48&lt;$D$15,H$15,
$C48&lt;$D$16,H$16)</f>
        <v>0.1</v>
      </c>
      <c r="I48" s="52" cm="1">
        <f t="array" aca="1" ref="I48" ca="1">_xlfn.IFS($C48&lt;$D$14,I$14,
$C48&lt;$D$15,I$15,
$C48&lt;$D$16,I$16)</f>
        <v>0</v>
      </c>
      <c r="J48" s="52"/>
      <c r="L48" s="52"/>
      <c r="M48" s="52"/>
      <c r="N48" s="52"/>
      <c r="O48" s="52" cm="1">
        <f t="array" aca="1" ref="O48" ca="1">_xlfn.IFS($C48&lt;$D$14,O$14,
$C48&lt;$D$15,O$15,
$C48&lt;$D$16,O$16)</f>
        <v>0.05</v>
      </c>
      <c r="P48" s="52" cm="1">
        <f t="array" aca="1" ref="P48" ca="1">_xlfn.IFS($C48&lt;$D$14,P$14,
$C48&lt;$D$15,P$15,
$C48&lt;$D$16,P$16)</f>
        <v>0.04</v>
      </c>
      <c r="Q48" s="52" cm="1">
        <f t="array" aca="1" ref="Q48" ca="1">_xlfn.IFS($C48&lt;$D$14,Q$14,
$C48&lt;$D$15,Q$15,
$C48&lt;$D$16,Q$16)</f>
        <v>0.08</v>
      </c>
      <c r="R48" s="52" cm="1">
        <f t="array" aca="1" ref="R48" ca="1">_xlfn.IFS($C48&lt;$D$14,R$14,
$C48&lt;$D$15,R$15,
$C48&lt;$D$16,R$16)</f>
        <v>0.06</v>
      </c>
      <c r="S48" s="52" cm="1">
        <f t="array" aca="1" ref="S48" ca="1">_xlfn.IFS($C48&lt;$D$14,S$14,
$C48&lt;$D$15,S$15,
$C48&lt;$D$16,S$16)</f>
        <v>0.04</v>
      </c>
      <c r="T48" s="52" cm="1">
        <f t="array" aca="1" ref="T48" ca="1">_xlfn.IFS($C48&lt;$D$14,T$14,
$C48&lt;$D$15,T$15,
$C48&lt;$D$16,T$16)</f>
        <v>0.05</v>
      </c>
      <c r="U48" s="52" cm="1">
        <f t="array" aca="1" ref="U48" ca="1">_xlfn.IFS($C48&lt;$D$14,U$14,
$C48&lt;$D$15,U$15,
$C48&lt;$D$16,U$16)</f>
        <v>0</v>
      </c>
      <c r="V48" s="19" cm="1">
        <f t="array" aca="1" ref="V48" ca="1">_xlfn.IFS($C48&lt;$D$14,V$14,
$C48&lt;$D$15,V$15,
$C48&lt;$D$16,V$16)</f>
        <v>10000</v>
      </c>
      <c r="W48" s="52"/>
      <c r="X48" s="52"/>
      <c r="Y48" s="52"/>
      <c r="Z48" s="52"/>
      <c r="AA48" s="52" cm="1">
        <f t="array" aca="1" ref="AA48" ca="1">_xlfn.IFS($C48&lt;$Z$14,AA$14,
$C48&lt;$Z$15,AA$15,
$C48&lt;$Z$16,AA$16)</f>
        <v>0.14000000000000001</v>
      </c>
      <c r="AB48" s="52" cm="1">
        <f t="array" aca="1" ref="AB48" ca="1">_xlfn.IFS($C48&lt;$Z$14,AB$14,
$C48&lt;$Z$15,AB$15,
$C48&lt;$Z$16,AB$16)</f>
        <v>0.16</v>
      </c>
      <c r="AC48" s="52" cm="1">
        <f t="array" aca="1" ref="AC48" ca="1">_xlfn.IFS($C48&lt;$Z$14,AC$14,
$C48&lt;$Z$15,AC$15,
$C48&lt;$Z$16,AC$16)</f>
        <v>0.2</v>
      </c>
      <c r="AD48" s="52" cm="1">
        <f t="array" aca="1" ref="AD48" ca="1">_xlfn.IFS($C48&lt;$Z$14,AD$14,
$C48&lt;$Z$15,AD$15,
$C48&lt;$Z$16,AD$16)</f>
        <v>0.05</v>
      </c>
      <c r="AE48" s="52" cm="1">
        <f t="array" aca="1" ref="AE48" ca="1">_xlfn.IFS($C48&lt;$Z$14,AE$14,
$C48&lt;$Z$15,AE$15,
$C48&lt;$Z$16,AE$16)</f>
        <v>0.03</v>
      </c>
    </row>
    <row r="49" spans="1:31" ht="14.25" customHeight="1" x14ac:dyDescent="0.3">
      <c r="A49" s="2">
        <v>48</v>
      </c>
      <c r="B49">
        <v>0.5083782412592619</v>
      </c>
      <c r="C49" s="52">
        <f t="shared" ca="1" si="0"/>
        <v>0.46017577872758619</v>
      </c>
      <c r="D49" s="2"/>
      <c r="E49" s="52" cm="1">
        <f t="array" aca="1" ref="E49" ca="1">_xlfn.IFS($C49&lt;$D$14,E$14,
$C49&lt;$D$15,E$15,
$C49&lt;$D$16,E$16)</f>
        <v>0.1</v>
      </c>
      <c r="F49" s="52" cm="1">
        <f t="array" aca="1" ref="F49" ca="1">_xlfn.IFS($C49&lt;$D$14,F$14,
$C49&lt;$D$15,F$15,
$C49&lt;$D$16,F$16)</f>
        <v>0.05</v>
      </c>
      <c r="G49" s="52" cm="1">
        <f t="array" aca="1" ref="G49" ca="1">_xlfn.IFS($C49&lt;$D$14,G$14,
$C49&lt;$D$15,G$15,
$C49&lt;$D$16,G$16)</f>
        <v>0.05</v>
      </c>
      <c r="H49" s="52" cm="1">
        <f t="array" aca="1" ref="H49" ca="1">_xlfn.IFS($C49&lt;$D$14,H$14,
$C49&lt;$D$15,H$15,
$C49&lt;$D$16,H$16)</f>
        <v>0.1</v>
      </c>
      <c r="I49" s="52" cm="1">
        <f t="array" aca="1" ref="I49" ca="1">_xlfn.IFS($C49&lt;$D$14,I$14,
$C49&lt;$D$15,I$15,
$C49&lt;$D$16,I$16)</f>
        <v>0</v>
      </c>
      <c r="J49" s="52"/>
      <c r="L49" s="52"/>
      <c r="M49" s="52"/>
      <c r="N49" s="52"/>
      <c r="O49" s="52" cm="1">
        <f t="array" aca="1" ref="O49" ca="1">_xlfn.IFS($C49&lt;$D$14,O$14,
$C49&lt;$D$15,O$15,
$C49&lt;$D$16,O$16)</f>
        <v>0.05</v>
      </c>
      <c r="P49" s="52" cm="1">
        <f t="array" aca="1" ref="P49" ca="1">_xlfn.IFS($C49&lt;$D$14,P$14,
$C49&lt;$D$15,P$15,
$C49&lt;$D$16,P$16)</f>
        <v>0.04</v>
      </c>
      <c r="Q49" s="52" cm="1">
        <f t="array" aca="1" ref="Q49" ca="1">_xlfn.IFS($C49&lt;$D$14,Q$14,
$C49&lt;$D$15,Q$15,
$C49&lt;$D$16,Q$16)</f>
        <v>0.08</v>
      </c>
      <c r="R49" s="52" cm="1">
        <f t="array" aca="1" ref="R49" ca="1">_xlfn.IFS($C49&lt;$D$14,R$14,
$C49&lt;$D$15,R$15,
$C49&lt;$D$16,R$16)</f>
        <v>0.06</v>
      </c>
      <c r="S49" s="52" cm="1">
        <f t="array" aca="1" ref="S49" ca="1">_xlfn.IFS($C49&lt;$D$14,S$14,
$C49&lt;$D$15,S$15,
$C49&lt;$D$16,S$16)</f>
        <v>0.04</v>
      </c>
      <c r="T49" s="52" cm="1">
        <f t="array" aca="1" ref="T49" ca="1">_xlfn.IFS($C49&lt;$D$14,T$14,
$C49&lt;$D$15,T$15,
$C49&lt;$D$16,T$16)</f>
        <v>0.05</v>
      </c>
      <c r="U49" s="52" cm="1">
        <f t="array" aca="1" ref="U49" ca="1">_xlfn.IFS($C49&lt;$D$14,U$14,
$C49&lt;$D$15,U$15,
$C49&lt;$D$16,U$16)</f>
        <v>0</v>
      </c>
      <c r="V49" s="19" cm="1">
        <f t="array" aca="1" ref="V49" ca="1">_xlfn.IFS($C49&lt;$D$14,V$14,
$C49&lt;$D$15,V$15,
$C49&lt;$D$16,V$16)</f>
        <v>10000</v>
      </c>
      <c r="W49" s="52"/>
      <c r="X49" s="52"/>
      <c r="Y49" s="52"/>
      <c r="Z49" s="52"/>
      <c r="AA49" s="52" cm="1">
        <f t="array" aca="1" ref="AA49" ca="1">_xlfn.IFS($C49&lt;$Z$14,AA$14,
$C49&lt;$Z$15,AA$15,
$C49&lt;$Z$16,AA$16)</f>
        <v>0.14000000000000001</v>
      </c>
      <c r="AB49" s="52" cm="1">
        <f t="array" aca="1" ref="AB49" ca="1">_xlfn.IFS($C49&lt;$Z$14,AB$14,
$C49&lt;$Z$15,AB$15,
$C49&lt;$Z$16,AB$16)</f>
        <v>0.16</v>
      </c>
      <c r="AC49" s="52" cm="1">
        <f t="array" aca="1" ref="AC49" ca="1">_xlfn.IFS($C49&lt;$Z$14,AC$14,
$C49&lt;$Z$15,AC$15,
$C49&lt;$Z$16,AC$16)</f>
        <v>0.2</v>
      </c>
      <c r="AD49" s="52" cm="1">
        <f t="array" aca="1" ref="AD49" ca="1">_xlfn.IFS($C49&lt;$Z$14,AD$14,
$C49&lt;$Z$15,AD$15,
$C49&lt;$Z$16,AD$16)</f>
        <v>0.05</v>
      </c>
      <c r="AE49" s="52" cm="1">
        <f t="array" aca="1" ref="AE49" ca="1">_xlfn.IFS($C49&lt;$Z$14,AE$14,
$C49&lt;$Z$15,AE$15,
$C49&lt;$Z$16,AE$16)</f>
        <v>0.03</v>
      </c>
    </row>
    <row r="50" spans="1:31" ht="14.25" customHeight="1" x14ac:dyDescent="0.3">
      <c r="A50" s="2">
        <v>49</v>
      </c>
      <c r="B50">
        <v>0.98054039721511488</v>
      </c>
      <c r="C50" s="52">
        <f t="shared" ca="1" si="0"/>
        <v>0.40925665038195869</v>
      </c>
      <c r="D50" s="2"/>
      <c r="E50" s="52" cm="1">
        <f t="array" aca="1" ref="E50" ca="1">_xlfn.IFS($C50&lt;$D$14,E$14,
$C50&lt;$D$15,E$15,
$C50&lt;$D$16,E$16)</f>
        <v>0.1</v>
      </c>
      <c r="F50" s="52" cm="1">
        <f t="array" aca="1" ref="F50" ca="1">_xlfn.IFS($C50&lt;$D$14,F$14,
$C50&lt;$D$15,F$15,
$C50&lt;$D$16,F$16)</f>
        <v>0.05</v>
      </c>
      <c r="G50" s="52" cm="1">
        <f t="array" aca="1" ref="G50" ca="1">_xlfn.IFS($C50&lt;$D$14,G$14,
$C50&lt;$D$15,G$15,
$C50&lt;$D$16,G$16)</f>
        <v>0.05</v>
      </c>
      <c r="H50" s="52" cm="1">
        <f t="array" aca="1" ref="H50" ca="1">_xlfn.IFS($C50&lt;$D$14,H$14,
$C50&lt;$D$15,H$15,
$C50&lt;$D$16,H$16)</f>
        <v>0.1</v>
      </c>
      <c r="I50" s="52" cm="1">
        <f t="array" aca="1" ref="I50" ca="1">_xlfn.IFS($C50&lt;$D$14,I$14,
$C50&lt;$D$15,I$15,
$C50&lt;$D$16,I$16)</f>
        <v>0</v>
      </c>
      <c r="J50" s="52"/>
      <c r="L50" s="52"/>
      <c r="M50" s="52"/>
      <c r="N50" s="52"/>
      <c r="O50" s="52" cm="1">
        <f t="array" aca="1" ref="O50" ca="1">_xlfn.IFS($C50&lt;$D$14,O$14,
$C50&lt;$D$15,O$15,
$C50&lt;$D$16,O$16)</f>
        <v>0.05</v>
      </c>
      <c r="P50" s="52" cm="1">
        <f t="array" aca="1" ref="P50" ca="1">_xlfn.IFS($C50&lt;$D$14,P$14,
$C50&lt;$D$15,P$15,
$C50&lt;$D$16,P$16)</f>
        <v>0.04</v>
      </c>
      <c r="Q50" s="52" cm="1">
        <f t="array" aca="1" ref="Q50" ca="1">_xlfn.IFS($C50&lt;$D$14,Q$14,
$C50&lt;$D$15,Q$15,
$C50&lt;$D$16,Q$16)</f>
        <v>0.08</v>
      </c>
      <c r="R50" s="52" cm="1">
        <f t="array" aca="1" ref="R50" ca="1">_xlfn.IFS($C50&lt;$D$14,R$14,
$C50&lt;$D$15,R$15,
$C50&lt;$D$16,R$16)</f>
        <v>0.06</v>
      </c>
      <c r="S50" s="52" cm="1">
        <f t="array" aca="1" ref="S50" ca="1">_xlfn.IFS($C50&lt;$D$14,S$14,
$C50&lt;$D$15,S$15,
$C50&lt;$D$16,S$16)</f>
        <v>0.04</v>
      </c>
      <c r="T50" s="52" cm="1">
        <f t="array" aca="1" ref="T50" ca="1">_xlfn.IFS($C50&lt;$D$14,T$14,
$C50&lt;$D$15,T$15,
$C50&lt;$D$16,T$16)</f>
        <v>0.05</v>
      </c>
      <c r="U50" s="52" cm="1">
        <f t="array" aca="1" ref="U50" ca="1">_xlfn.IFS($C50&lt;$D$14,U$14,
$C50&lt;$D$15,U$15,
$C50&lt;$D$16,U$16)</f>
        <v>0</v>
      </c>
      <c r="V50" s="19" cm="1">
        <f t="array" aca="1" ref="V50" ca="1">_xlfn.IFS($C50&lt;$D$14,V$14,
$C50&lt;$D$15,V$15,
$C50&lt;$D$16,V$16)</f>
        <v>10000</v>
      </c>
      <c r="W50" s="52"/>
      <c r="X50" s="52"/>
      <c r="Y50" s="52"/>
      <c r="Z50" s="52"/>
      <c r="AA50" s="52" cm="1">
        <f t="array" aca="1" ref="AA50" ca="1">_xlfn.IFS($C50&lt;$Z$14,AA$14,
$C50&lt;$Z$15,AA$15,
$C50&lt;$Z$16,AA$16)</f>
        <v>0.14000000000000001</v>
      </c>
      <c r="AB50" s="52" cm="1">
        <f t="array" aca="1" ref="AB50" ca="1">_xlfn.IFS($C50&lt;$Z$14,AB$14,
$C50&lt;$Z$15,AB$15,
$C50&lt;$Z$16,AB$16)</f>
        <v>0.16</v>
      </c>
      <c r="AC50" s="52" cm="1">
        <f t="array" aca="1" ref="AC50" ca="1">_xlfn.IFS($C50&lt;$Z$14,AC$14,
$C50&lt;$Z$15,AC$15,
$C50&lt;$Z$16,AC$16)</f>
        <v>0.2</v>
      </c>
      <c r="AD50" s="52" cm="1">
        <f t="array" aca="1" ref="AD50" ca="1">_xlfn.IFS($C50&lt;$Z$14,AD$14,
$C50&lt;$Z$15,AD$15,
$C50&lt;$Z$16,AD$16)</f>
        <v>0.05</v>
      </c>
      <c r="AE50" s="52" cm="1">
        <f t="array" aca="1" ref="AE50" ca="1">_xlfn.IFS($C50&lt;$Z$14,AE$14,
$C50&lt;$Z$15,AE$15,
$C50&lt;$Z$16,AE$16)</f>
        <v>0.03</v>
      </c>
    </row>
    <row r="51" spans="1:31" ht="14.25" customHeight="1" x14ac:dyDescent="0.3">
      <c r="A51" s="2">
        <v>50</v>
      </c>
      <c r="B51">
        <v>0.19340167850724188</v>
      </c>
      <c r="C51" s="52">
        <f t="shared" ca="1" si="0"/>
        <v>0.12854903789305139</v>
      </c>
      <c r="D51" s="2"/>
      <c r="E51" s="52" cm="1">
        <f t="array" aca="1" ref="E51" ca="1">_xlfn.IFS($C51&lt;$D$14,E$14,
$C51&lt;$D$15,E$15,
$C51&lt;$D$16,E$16)</f>
        <v>0.1</v>
      </c>
      <c r="F51" s="52" cm="1">
        <f t="array" aca="1" ref="F51" ca="1">_xlfn.IFS($C51&lt;$D$14,F$14,
$C51&lt;$D$15,F$15,
$C51&lt;$D$16,F$16)</f>
        <v>0.05</v>
      </c>
      <c r="G51" s="52" cm="1">
        <f t="array" aca="1" ref="G51" ca="1">_xlfn.IFS($C51&lt;$D$14,G$14,
$C51&lt;$D$15,G$15,
$C51&lt;$D$16,G$16)</f>
        <v>0.05</v>
      </c>
      <c r="H51" s="52" cm="1">
        <f t="array" aca="1" ref="H51" ca="1">_xlfn.IFS($C51&lt;$D$14,H$14,
$C51&lt;$D$15,H$15,
$C51&lt;$D$16,H$16)</f>
        <v>0.1</v>
      </c>
      <c r="I51" s="52" cm="1">
        <f t="array" aca="1" ref="I51" ca="1">_xlfn.IFS($C51&lt;$D$14,I$14,
$C51&lt;$D$15,I$15,
$C51&lt;$D$16,I$16)</f>
        <v>0</v>
      </c>
      <c r="J51" s="52"/>
      <c r="L51" s="52"/>
      <c r="M51" s="52"/>
      <c r="N51" s="52"/>
      <c r="O51" s="52" cm="1">
        <f t="array" aca="1" ref="O51" ca="1">_xlfn.IFS($C51&lt;$D$14,O$14,
$C51&lt;$D$15,O$15,
$C51&lt;$D$16,O$16)</f>
        <v>0.05</v>
      </c>
      <c r="P51" s="52" cm="1">
        <f t="array" aca="1" ref="P51" ca="1">_xlfn.IFS($C51&lt;$D$14,P$14,
$C51&lt;$D$15,P$15,
$C51&lt;$D$16,P$16)</f>
        <v>0.04</v>
      </c>
      <c r="Q51" s="52" cm="1">
        <f t="array" aca="1" ref="Q51" ca="1">_xlfn.IFS($C51&lt;$D$14,Q$14,
$C51&lt;$D$15,Q$15,
$C51&lt;$D$16,Q$16)</f>
        <v>0.08</v>
      </c>
      <c r="R51" s="52" cm="1">
        <f t="array" aca="1" ref="R51" ca="1">_xlfn.IFS($C51&lt;$D$14,R$14,
$C51&lt;$D$15,R$15,
$C51&lt;$D$16,R$16)</f>
        <v>0.06</v>
      </c>
      <c r="S51" s="52" cm="1">
        <f t="array" aca="1" ref="S51" ca="1">_xlfn.IFS($C51&lt;$D$14,S$14,
$C51&lt;$D$15,S$15,
$C51&lt;$D$16,S$16)</f>
        <v>0.04</v>
      </c>
      <c r="T51" s="52" cm="1">
        <f t="array" aca="1" ref="T51" ca="1">_xlfn.IFS($C51&lt;$D$14,T$14,
$C51&lt;$D$15,T$15,
$C51&lt;$D$16,T$16)</f>
        <v>0.05</v>
      </c>
      <c r="U51" s="52" cm="1">
        <f t="array" aca="1" ref="U51" ca="1">_xlfn.IFS($C51&lt;$D$14,U$14,
$C51&lt;$D$15,U$15,
$C51&lt;$D$16,U$16)</f>
        <v>0</v>
      </c>
      <c r="V51" s="19" cm="1">
        <f t="array" aca="1" ref="V51" ca="1">_xlfn.IFS($C51&lt;$D$14,V$14,
$C51&lt;$D$15,V$15,
$C51&lt;$D$16,V$16)</f>
        <v>10000</v>
      </c>
      <c r="W51" s="52"/>
      <c r="X51" s="52"/>
      <c r="Y51" s="52"/>
      <c r="Z51" s="52"/>
      <c r="AA51" s="52" cm="1">
        <f t="array" aca="1" ref="AA51" ca="1">_xlfn.IFS($C51&lt;$Z$14,AA$14,
$C51&lt;$Z$15,AA$15,
$C51&lt;$Z$16,AA$16)</f>
        <v>0.14000000000000001</v>
      </c>
      <c r="AB51" s="52" cm="1">
        <f t="array" aca="1" ref="AB51" ca="1">_xlfn.IFS($C51&lt;$Z$14,AB$14,
$C51&lt;$Z$15,AB$15,
$C51&lt;$Z$16,AB$16)</f>
        <v>0.16</v>
      </c>
      <c r="AC51" s="52" cm="1">
        <f t="array" aca="1" ref="AC51" ca="1">_xlfn.IFS($C51&lt;$Z$14,AC$14,
$C51&lt;$Z$15,AC$15,
$C51&lt;$Z$16,AC$16)</f>
        <v>0.2</v>
      </c>
      <c r="AD51" s="52" cm="1">
        <f t="array" aca="1" ref="AD51" ca="1">_xlfn.IFS($C51&lt;$Z$14,AD$14,
$C51&lt;$Z$15,AD$15,
$C51&lt;$Z$16,AD$16)</f>
        <v>0.05</v>
      </c>
      <c r="AE51" s="52" cm="1">
        <f t="array" aca="1" ref="AE51" ca="1">_xlfn.IFS($C51&lt;$Z$14,AE$14,
$C51&lt;$Z$15,AE$15,
$C51&lt;$Z$16,AE$16)</f>
        <v>0.03</v>
      </c>
    </row>
    <row r="52" spans="1:31" ht="14.25" customHeight="1" x14ac:dyDescent="0.3">
      <c r="A52" s="2">
        <v>51</v>
      </c>
      <c r="B52">
        <v>0.98972860668292273</v>
      </c>
      <c r="C52" s="52">
        <f t="shared" ca="1" si="0"/>
        <v>0.85693068485950408</v>
      </c>
      <c r="D52" s="2"/>
      <c r="E52" s="52" cm="1">
        <f t="array" aca="1" ref="E52" ca="1">_xlfn.IFS($C52&lt;$D$14,E$14,
$C52&lt;$D$15,E$15,
$C52&lt;$D$16,E$16)</f>
        <v>7.0000000000000007E-2</v>
      </c>
      <c r="F52" s="52" cm="1">
        <f t="array" aca="1" ref="F52" ca="1">_xlfn.IFS($C52&lt;$D$14,F$14,
$C52&lt;$D$15,F$15,
$C52&lt;$D$16,F$16)</f>
        <v>0.05</v>
      </c>
      <c r="G52" s="52" cm="1">
        <f t="array" aca="1" ref="G52" ca="1">_xlfn.IFS($C52&lt;$D$14,G$14,
$C52&lt;$D$15,G$15,
$C52&lt;$D$16,G$16)</f>
        <v>0.05</v>
      </c>
      <c r="H52" s="52" cm="1">
        <f t="array" aca="1" ref="H52" ca="1">_xlfn.IFS($C52&lt;$D$14,H$14,
$C52&lt;$D$15,H$15,
$C52&lt;$D$16,H$16)</f>
        <v>0.05</v>
      </c>
      <c r="I52" s="52" cm="1">
        <f t="array" aca="1" ref="I52" ca="1">_xlfn.IFS($C52&lt;$D$14,I$14,
$C52&lt;$D$15,I$15,
$C52&lt;$D$16,I$16)</f>
        <v>0</v>
      </c>
      <c r="J52" s="52"/>
      <c r="L52" s="52"/>
      <c r="M52" s="52"/>
      <c r="N52" s="52"/>
      <c r="O52" s="52" cm="1">
        <f t="array" aca="1" ref="O52" ca="1">_xlfn.IFS($C52&lt;$D$14,O$14,
$C52&lt;$D$15,O$15,
$C52&lt;$D$16,O$16)</f>
        <v>0.06</v>
      </c>
      <c r="P52" s="52" cm="1">
        <f t="array" aca="1" ref="P52" ca="1">_xlfn.IFS($C52&lt;$D$14,P$14,
$C52&lt;$D$15,P$15,
$C52&lt;$D$16,P$16)</f>
        <v>0.05</v>
      </c>
      <c r="Q52" s="52" cm="1">
        <f t="array" aca="1" ref="Q52" ca="1">_xlfn.IFS($C52&lt;$D$14,Q$14,
$C52&lt;$D$15,Q$15,
$C52&lt;$D$16,Q$16)</f>
        <v>0.05</v>
      </c>
      <c r="R52" s="52" cm="1">
        <f t="array" aca="1" ref="R52" ca="1">_xlfn.IFS($C52&lt;$D$14,R$14,
$C52&lt;$D$15,R$15,
$C52&lt;$D$16,R$16)</f>
        <v>0.06</v>
      </c>
      <c r="S52" s="52" cm="1">
        <f t="array" aca="1" ref="S52" ca="1">_xlfn.IFS($C52&lt;$D$14,S$14,
$C52&lt;$D$15,S$15,
$C52&lt;$D$16,S$16)</f>
        <v>0.04</v>
      </c>
      <c r="T52" s="52" cm="1">
        <f t="array" aca="1" ref="T52" ca="1">_xlfn.IFS($C52&lt;$D$14,T$14,
$C52&lt;$D$15,T$15,
$C52&lt;$D$16,T$16)</f>
        <v>0.04</v>
      </c>
      <c r="U52" s="52" cm="1">
        <f t="array" aca="1" ref="U52" ca="1">_xlfn.IFS($C52&lt;$D$14,U$14,
$C52&lt;$D$15,U$15,
$C52&lt;$D$16,U$16)</f>
        <v>0</v>
      </c>
      <c r="V52" s="19" cm="1">
        <f t="array" aca="1" ref="V52" ca="1">_xlfn.IFS($C52&lt;$D$14,V$14,
$C52&lt;$D$15,V$15,
$C52&lt;$D$16,V$16)</f>
        <v>15000</v>
      </c>
      <c r="W52" s="52"/>
      <c r="X52" s="52"/>
      <c r="Y52" s="52"/>
      <c r="Z52" s="52"/>
      <c r="AA52" s="52" cm="1">
        <f t="array" aca="1" ref="AA52" ca="1">_xlfn.IFS($C52&lt;$Z$14,AA$14,
$C52&lt;$Z$15,AA$15,
$C52&lt;$Z$16,AA$16)</f>
        <v>0.12</v>
      </c>
      <c r="AB52" s="52" cm="1">
        <f t="array" aca="1" ref="AB52" ca="1">_xlfn.IFS($C52&lt;$Z$14,AB$14,
$C52&lt;$Z$15,AB$15,
$C52&lt;$Z$16,AB$16)</f>
        <v>0.14000000000000001</v>
      </c>
      <c r="AC52" s="52" cm="1">
        <f t="array" aca="1" ref="AC52" ca="1">_xlfn.IFS($C52&lt;$Z$14,AC$14,
$C52&lt;$Z$15,AC$15,
$C52&lt;$Z$16,AC$16)</f>
        <v>0.16</v>
      </c>
      <c r="AD52" s="52" cm="1">
        <f t="array" aca="1" ref="AD52" ca="1">_xlfn.IFS($C52&lt;$Z$14,AD$14,
$C52&lt;$Z$15,AD$15,
$C52&lt;$Z$16,AD$16)</f>
        <v>0.05</v>
      </c>
      <c r="AE52" s="52" cm="1">
        <f t="array" aca="1" ref="AE52" ca="1">_xlfn.IFS($C52&lt;$Z$14,AE$14,
$C52&lt;$Z$15,AE$15,
$C52&lt;$Z$16,AE$16)</f>
        <v>0.03</v>
      </c>
    </row>
    <row r="53" spans="1:31" ht="14.25" customHeight="1" x14ac:dyDescent="0.3">
      <c r="A53" s="2">
        <v>52</v>
      </c>
      <c r="B53">
        <v>0.78090654415950067</v>
      </c>
      <c r="C53" s="52">
        <f t="shared" ca="1" si="0"/>
        <v>0.83482512286997546</v>
      </c>
      <c r="D53" s="2"/>
      <c r="E53" s="52" cm="1">
        <f t="array" aca="1" ref="E53" ca="1">_xlfn.IFS($C53&lt;$D$14,E$14,
$C53&lt;$D$15,E$15,
$C53&lt;$D$16,E$16)</f>
        <v>7.0000000000000007E-2</v>
      </c>
      <c r="F53" s="52" cm="1">
        <f t="array" aca="1" ref="F53" ca="1">_xlfn.IFS($C53&lt;$D$14,F$14,
$C53&lt;$D$15,F$15,
$C53&lt;$D$16,F$16)</f>
        <v>0.05</v>
      </c>
      <c r="G53" s="52" cm="1">
        <f t="array" aca="1" ref="G53" ca="1">_xlfn.IFS($C53&lt;$D$14,G$14,
$C53&lt;$D$15,G$15,
$C53&lt;$D$16,G$16)</f>
        <v>0.05</v>
      </c>
      <c r="H53" s="52" cm="1">
        <f t="array" aca="1" ref="H53" ca="1">_xlfn.IFS($C53&lt;$D$14,H$14,
$C53&lt;$D$15,H$15,
$C53&lt;$D$16,H$16)</f>
        <v>0.05</v>
      </c>
      <c r="I53" s="52" cm="1">
        <f t="array" aca="1" ref="I53" ca="1">_xlfn.IFS($C53&lt;$D$14,I$14,
$C53&lt;$D$15,I$15,
$C53&lt;$D$16,I$16)</f>
        <v>0</v>
      </c>
      <c r="J53" s="52"/>
      <c r="L53" s="52"/>
      <c r="M53" s="52"/>
      <c r="N53" s="52"/>
      <c r="O53" s="52" cm="1">
        <f t="array" aca="1" ref="O53" ca="1">_xlfn.IFS($C53&lt;$D$14,O$14,
$C53&lt;$D$15,O$15,
$C53&lt;$D$16,O$16)</f>
        <v>0.06</v>
      </c>
      <c r="P53" s="52" cm="1">
        <f t="array" aca="1" ref="P53" ca="1">_xlfn.IFS($C53&lt;$D$14,P$14,
$C53&lt;$D$15,P$15,
$C53&lt;$D$16,P$16)</f>
        <v>0.05</v>
      </c>
      <c r="Q53" s="52" cm="1">
        <f t="array" aca="1" ref="Q53" ca="1">_xlfn.IFS($C53&lt;$D$14,Q$14,
$C53&lt;$D$15,Q$15,
$C53&lt;$D$16,Q$16)</f>
        <v>0.05</v>
      </c>
      <c r="R53" s="52" cm="1">
        <f t="array" aca="1" ref="R53" ca="1">_xlfn.IFS($C53&lt;$D$14,R$14,
$C53&lt;$D$15,R$15,
$C53&lt;$D$16,R$16)</f>
        <v>0.06</v>
      </c>
      <c r="S53" s="52" cm="1">
        <f t="array" aca="1" ref="S53" ca="1">_xlfn.IFS($C53&lt;$D$14,S$14,
$C53&lt;$D$15,S$15,
$C53&lt;$D$16,S$16)</f>
        <v>0.04</v>
      </c>
      <c r="T53" s="52" cm="1">
        <f t="array" aca="1" ref="T53" ca="1">_xlfn.IFS($C53&lt;$D$14,T$14,
$C53&lt;$D$15,T$15,
$C53&lt;$D$16,T$16)</f>
        <v>0.04</v>
      </c>
      <c r="U53" s="52" cm="1">
        <f t="array" aca="1" ref="U53" ca="1">_xlfn.IFS($C53&lt;$D$14,U$14,
$C53&lt;$D$15,U$15,
$C53&lt;$D$16,U$16)</f>
        <v>0</v>
      </c>
      <c r="V53" s="19" cm="1">
        <f t="array" aca="1" ref="V53" ca="1">_xlfn.IFS($C53&lt;$D$14,V$14,
$C53&lt;$D$15,V$15,
$C53&lt;$D$16,V$16)</f>
        <v>15000</v>
      </c>
      <c r="W53" s="52"/>
      <c r="X53" s="52"/>
      <c r="Y53" s="52"/>
      <c r="Z53" s="52"/>
      <c r="AA53" s="52" cm="1">
        <f t="array" aca="1" ref="AA53" ca="1">_xlfn.IFS($C53&lt;$Z$14,AA$14,
$C53&lt;$Z$15,AA$15,
$C53&lt;$Z$16,AA$16)</f>
        <v>0.12</v>
      </c>
      <c r="AB53" s="52" cm="1">
        <f t="array" aca="1" ref="AB53" ca="1">_xlfn.IFS($C53&lt;$Z$14,AB$14,
$C53&lt;$Z$15,AB$15,
$C53&lt;$Z$16,AB$16)</f>
        <v>0.14000000000000001</v>
      </c>
      <c r="AC53" s="52" cm="1">
        <f t="array" aca="1" ref="AC53" ca="1">_xlfn.IFS($C53&lt;$Z$14,AC$14,
$C53&lt;$Z$15,AC$15,
$C53&lt;$Z$16,AC$16)</f>
        <v>0.16</v>
      </c>
      <c r="AD53" s="52" cm="1">
        <f t="array" aca="1" ref="AD53" ca="1">_xlfn.IFS($C53&lt;$Z$14,AD$14,
$C53&lt;$Z$15,AD$15,
$C53&lt;$Z$16,AD$16)</f>
        <v>0.05</v>
      </c>
      <c r="AE53" s="52" cm="1">
        <f t="array" aca="1" ref="AE53" ca="1">_xlfn.IFS($C53&lt;$Z$14,AE$14,
$C53&lt;$Z$15,AE$15,
$C53&lt;$Z$16,AE$16)</f>
        <v>0.03</v>
      </c>
    </row>
    <row r="54" spans="1:31" ht="14.25" customHeight="1" x14ac:dyDescent="0.3">
      <c r="A54" s="2">
        <v>53</v>
      </c>
      <c r="B54">
        <v>8.8708469950364077E-2</v>
      </c>
      <c r="C54" s="52">
        <f t="shared" ca="1" si="0"/>
        <v>0.52165391751032175</v>
      </c>
      <c r="D54" s="2"/>
      <c r="E54" s="52" cm="1">
        <f t="array" aca="1" ref="E54" ca="1">_xlfn.IFS($C54&lt;$D$14,E$14,
$C54&lt;$D$15,E$15,
$C54&lt;$D$16,E$16)</f>
        <v>0.1</v>
      </c>
      <c r="F54" s="52" cm="1">
        <f t="array" aca="1" ref="F54" ca="1">_xlfn.IFS($C54&lt;$D$14,F$14,
$C54&lt;$D$15,F$15,
$C54&lt;$D$16,F$16)</f>
        <v>0.05</v>
      </c>
      <c r="G54" s="52" cm="1">
        <f t="array" aca="1" ref="G54" ca="1">_xlfn.IFS($C54&lt;$D$14,G$14,
$C54&lt;$D$15,G$15,
$C54&lt;$D$16,G$16)</f>
        <v>0.05</v>
      </c>
      <c r="H54" s="52" cm="1">
        <f t="array" aca="1" ref="H54" ca="1">_xlfn.IFS($C54&lt;$D$14,H$14,
$C54&lt;$D$15,H$15,
$C54&lt;$D$16,H$16)</f>
        <v>0.1</v>
      </c>
      <c r="I54" s="52" cm="1">
        <f t="array" aca="1" ref="I54" ca="1">_xlfn.IFS($C54&lt;$D$14,I$14,
$C54&lt;$D$15,I$15,
$C54&lt;$D$16,I$16)</f>
        <v>0</v>
      </c>
      <c r="J54" s="52"/>
      <c r="L54" s="52"/>
      <c r="M54" s="52"/>
      <c r="N54" s="52"/>
      <c r="O54" s="52" cm="1">
        <f t="array" aca="1" ref="O54" ca="1">_xlfn.IFS($C54&lt;$D$14,O$14,
$C54&lt;$D$15,O$15,
$C54&lt;$D$16,O$16)</f>
        <v>0.05</v>
      </c>
      <c r="P54" s="52" cm="1">
        <f t="array" aca="1" ref="P54" ca="1">_xlfn.IFS($C54&lt;$D$14,P$14,
$C54&lt;$D$15,P$15,
$C54&lt;$D$16,P$16)</f>
        <v>0.04</v>
      </c>
      <c r="Q54" s="52" cm="1">
        <f t="array" aca="1" ref="Q54" ca="1">_xlfn.IFS($C54&lt;$D$14,Q$14,
$C54&lt;$D$15,Q$15,
$C54&lt;$D$16,Q$16)</f>
        <v>0.08</v>
      </c>
      <c r="R54" s="52" cm="1">
        <f t="array" aca="1" ref="R54" ca="1">_xlfn.IFS($C54&lt;$D$14,R$14,
$C54&lt;$D$15,R$15,
$C54&lt;$D$16,R$16)</f>
        <v>0.06</v>
      </c>
      <c r="S54" s="52" cm="1">
        <f t="array" aca="1" ref="S54" ca="1">_xlfn.IFS($C54&lt;$D$14,S$14,
$C54&lt;$D$15,S$15,
$C54&lt;$D$16,S$16)</f>
        <v>0.04</v>
      </c>
      <c r="T54" s="52" cm="1">
        <f t="array" aca="1" ref="T54" ca="1">_xlfn.IFS($C54&lt;$D$14,T$14,
$C54&lt;$D$15,T$15,
$C54&lt;$D$16,T$16)</f>
        <v>0.05</v>
      </c>
      <c r="U54" s="52" cm="1">
        <f t="array" aca="1" ref="U54" ca="1">_xlfn.IFS($C54&lt;$D$14,U$14,
$C54&lt;$D$15,U$15,
$C54&lt;$D$16,U$16)</f>
        <v>0</v>
      </c>
      <c r="V54" s="19" cm="1">
        <f t="array" aca="1" ref="V54" ca="1">_xlfn.IFS($C54&lt;$D$14,V$14,
$C54&lt;$D$15,V$15,
$C54&lt;$D$16,V$16)</f>
        <v>10000</v>
      </c>
      <c r="W54" s="52"/>
      <c r="X54" s="52"/>
      <c r="Y54" s="52"/>
      <c r="Z54" s="52"/>
      <c r="AA54" s="52" cm="1">
        <f t="array" aca="1" ref="AA54" ca="1">_xlfn.IFS($C54&lt;$Z$14,AA$14,
$C54&lt;$Z$15,AA$15,
$C54&lt;$Z$16,AA$16)</f>
        <v>0.14000000000000001</v>
      </c>
      <c r="AB54" s="52" cm="1">
        <f t="array" aca="1" ref="AB54" ca="1">_xlfn.IFS($C54&lt;$Z$14,AB$14,
$C54&lt;$Z$15,AB$15,
$C54&lt;$Z$16,AB$16)</f>
        <v>0.16</v>
      </c>
      <c r="AC54" s="52" cm="1">
        <f t="array" aca="1" ref="AC54" ca="1">_xlfn.IFS($C54&lt;$Z$14,AC$14,
$C54&lt;$Z$15,AC$15,
$C54&lt;$Z$16,AC$16)</f>
        <v>0.2</v>
      </c>
      <c r="AD54" s="52" cm="1">
        <f t="array" aca="1" ref="AD54" ca="1">_xlfn.IFS($C54&lt;$Z$14,AD$14,
$C54&lt;$Z$15,AD$15,
$C54&lt;$Z$16,AD$16)</f>
        <v>0.05</v>
      </c>
      <c r="AE54" s="52" cm="1">
        <f t="array" aca="1" ref="AE54" ca="1">_xlfn.IFS($C54&lt;$Z$14,AE$14,
$C54&lt;$Z$15,AE$15,
$C54&lt;$Z$16,AE$16)</f>
        <v>0.03</v>
      </c>
    </row>
    <row r="55" spans="1:31" ht="14.25" customHeight="1" x14ac:dyDescent="0.3">
      <c r="A55" s="2">
        <v>54</v>
      </c>
      <c r="B55">
        <v>0.35616887679505027</v>
      </c>
      <c r="C55" s="52">
        <f t="shared" ca="1" si="0"/>
        <v>0.62523235326770976</v>
      </c>
      <c r="D55" s="2"/>
      <c r="E55" s="52" cm="1">
        <f t="array" aca="1" ref="E55" ca="1">_xlfn.IFS($C55&lt;$D$14,E$14,
$C55&lt;$D$15,E$15,
$C55&lt;$D$16,E$16)</f>
        <v>0.1</v>
      </c>
      <c r="F55" s="52" cm="1">
        <f t="array" aca="1" ref="F55" ca="1">_xlfn.IFS($C55&lt;$D$14,F$14,
$C55&lt;$D$15,F$15,
$C55&lt;$D$16,F$16)</f>
        <v>0.05</v>
      </c>
      <c r="G55" s="52" cm="1">
        <f t="array" aca="1" ref="G55" ca="1">_xlfn.IFS($C55&lt;$D$14,G$14,
$C55&lt;$D$15,G$15,
$C55&lt;$D$16,G$16)</f>
        <v>0.05</v>
      </c>
      <c r="H55" s="52" cm="1">
        <f t="array" aca="1" ref="H55" ca="1">_xlfn.IFS($C55&lt;$D$14,H$14,
$C55&lt;$D$15,H$15,
$C55&lt;$D$16,H$16)</f>
        <v>0.1</v>
      </c>
      <c r="I55" s="52" cm="1">
        <f t="array" aca="1" ref="I55" ca="1">_xlfn.IFS($C55&lt;$D$14,I$14,
$C55&lt;$D$15,I$15,
$C55&lt;$D$16,I$16)</f>
        <v>0</v>
      </c>
      <c r="J55" s="52"/>
      <c r="L55" s="52"/>
      <c r="M55" s="52"/>
      <c r="N55" s="52"/>
      <c r="O55" s="52" cm="1">
        <f t="array" aca="1" ref="O55" ca="1">_xlfn.IFS($C55&lt;$D$14,O$14,
$C55&lt;$D$15,O$15,
$C55&lt;$D$16,O$16)</f>
        <v>0.05</v>
      </c>
      <c r="P55" s="52" cm="1">
        <f t="array" aca="1" ref="P55" ca="1">_xlfn.IFS($C55&lt;$D$14,P$14,
$C55&lt;$D$15,P$15,
$C55&lt;$D$16,P$16)</f>
        <v>0.04</v>
      </c>
      <c r="Q55" s="52" cm="1">
        <f t="array" aca="1" ref="Q55" ca="1">_xlfn.IFS($C55&lt;$D$14,Q$14,
$C55&lt;$D$15,Q$15,
$C55&lt;$D$16,Q$16)</f>
        <v>0.08</v>
      </c>
      <c r="R55" s="52" cm="1">
        <f t="array" aca="1" ref="R55" ca="1">_xlfn.IFS($C55&lt;$D$14,R$14,
$C55&lt;$D$15,R$15,
$C55&lt;$D$16,R$16)</f>
        <v>0.06</v>
      </c>
      <c r="S55" s="52" cm="1">
        <f t="array" aca="1" ref="S55" ca="1">_xlfn.IFS($C55&lt;$D$14,S$14,
$C55&lt;$D$15,S$15,
$C55&lt;$D$16,S$16)</f>
        <v>0.04</v>
      </c>
      <c r="T55" s="52" cm="1">
        <f t="array" aca="1" ref="T55" ca="1">_xlfn.IFS($C55&lt;$D$14,T$14,
$C55&lt;$D$15,T$15,
$C55&lt;$D$16,T$16)</f>
        <v>0.05</v>
      </c>
      <c r="U55" s="52" cm="1">
        <f t="array" aca="1" ref="U55" ca="1">_xlfn.IFS($C55&lt;$D$14,U$14,
$C55&lt;$D$15,U$15,
$C55&lt;$D$16,U$16)</f>
        <v>0</v>
      </c>
      <c r="V55" s="19" cm="1">
        <f t="array" aca="1" ref="V55" ca="1">_xlfn.IFS($C55&lt;$D$14,V$14,
$C55&lt;$D$15,V$15,
$C55&lt;$D$16,V$16)</f>
        <v>10000</v>
      </c>
      <c r="W55" s="52"/>
      <c r="X55" s="52"/>
      <c r="Y55" s="52"/>
      <c r="Z55" s="52"/>
      <c r="AA55" s="52" cm="1">
        <f t="array" aca="1" ref="AA55" ca="1">_xlfn.IFS($C55&lt;$Z$14,AA$14,
$C55&lt;$Z$15,AA$15,
$C55&lt;$Z$16,AA$16)</f>
        <v>0.14000000000000001</v>
      </c>
      <c r="AB55" s="52" cm="1">
        <f t="array" aca="1" ref="AB55" ca="1">_xlfn.IFS($C55&lt;$Z$14,AB$14,
$C55&lt;$Z$15,AB$15,
$C55&lt;$Z$16,AB$16)</f>
        <v>0.16</v>
      </c>
      <c r="AC55" s="52" cm="1">
        <f t="array" aca="1" ref="AC55" ca="1">_xlfn.IFS($C55&lt;$Z$14,AC$14,
$C55&lt;$Z$15,AC$15,
$C55&lt;$Z$16,AC$16)</f>
        <v>0.2</v>
      </c>
      <c r="AD55" s="52" cm="1">
        <f t="array" aca="1" ref="AD55" ca="1">_xlfn.IFS($C55&lt;$Z$14,AD$14,
$C55&lt;$Z$15,AD$15,
$C55&lt;$Z$16,AD$16)</f>
        <v>0.05</v>
      </c>
      <c r="AE55" s="52" cm="1">
        <f t="array" aca="1" ref="AE55" ca="1">_xlfn.IFS($C55&lt;$Z$14,AE$14,
$C55&lt;$Z$15,AE$15,
$C55&lt;$Z$16,AE$16)</f>
        <v>0.03</v>
      </c>
    </row>
    <row r="56" spans="1:31" ht="14.25" customHeight="1" x14ac:dyDescent="0.3">
      <c r="B56">
        <v>0.65810392982302701</v>
      </c>
      <c r="C56" s="52">
        <f t="shared" ca="1" si="0"/>
        <v>0.60688738670944076</v>
      </c>
      <c r="D56" s="2"/>
      <c r="E56" s="52" cm="1">
        <f t="array" aca="1" ref="E56" ca="1">_xlfn.IFS($C56&lt;$D$14,E$14,
$C56&lt;$D$15,E$15,
$C56&lt;$D$16,E$16)</f>
        <v>0.1</v>
      </c>
      <c r="F56" s="52" cm="1">
        <f t="array" aca="1" ref="F56" ca="1">_xlfn.IFS($C56&lt;$D$14,F$14,
$C56&lt;$D$15,F$15,
$C56&lt;$D$16,F$16)</f>
        <v>0.05</v>
      </c>
      <c r="G56" s="52" cm="1">
        <f t="array" aca="1" ref="G56" ca="1">_xlfn.IFS($C56&lt;$D$14,G$14,
$C56&lt;$D$15,G$15,
$C56&lt;$D$16,G$16)</f>
        <v>0.05</v>
      </c>
      <c r="H56" s="52" cm="1">
        <f t="array" aca="1" ref="H56" ca="1">_xlfn.IFS($C56&lt;$D$14,H$14,
$C56&lt;$D$15,H$15,
$C56&lt;$D$16,H$16)</f>
        <v>0.1</v>
      </c>
      <c r="I56" s="52" cm="1">
        <f t="array" aca="1" ref="I56" ca="1">_xlfn.IFS($C56&lt;$D$14,I$14,
$C56&lt;$D$15,I$15,
$C56&lt;$D$16,I$16)</f>
        <v>0</v>
      </c>
      <c r="J56" s="52"/>
      <c r="L56" s="52"/>
      <c r="M56" s="52"/>
      <c r="N56" s="52"/>
      <c r="O56" s="52" cm="1">
        <f t="array" aca="1" ref="O56" ca="1">_xlfn.IFS($C56&lt;$D$14,O$14,
$C56&lt;$D$15,O$15,
$C56&lt;$D$16,O$16)</f>
        <v>0.05</v>
      </c>
      <c r="P56" s="52" cm="1">
        <f t="array" aca="1" ref="P56" ca="1">_xlfn.IFS($C56&lt;$D$14,P$14,
$C56&lt;$D$15,P$15,
$C56&lt;$D$16,P$16)</f>
        <v>0.04</v>
      </c>
      <c r="Q56" s="52" cm="1">
        <f t="array" aca="1" ref="Q56" ca="1">_xlfn.IFS($C56&lt;$D$14,Q$14,
$C56&lt;$D$15,Q$15,
$C56&lt;$D$16,Q$16)</f>
        <v>0.08</v>
      </c>
      <c r="R56" s="52" cm="1">
        <f t="array" aca="1" ref="R56" ca="1">_xlfn.IFS($C56&lt;$D$14,R$14,
$C56&lt;$D$15,R$15,
$C56&lt;$D$16,R$16)</f>
        <v>0.06</v>
      </c>
      <c r="S56" s="52" cm="1">
        <f t="array" aca="1" ref="S56" ca="1">_xlfn.IFS($C56&lt;$D$14,S$14,
$C56&lt;$D$15,S$15,
$C56&lt;$D$16,S$16)</f>
        <v>0.04</v>
      </c>
      <c r="T56" s="52" cm="1">
        <f t="array" aca="1" ref="T56" ca="1">_xlfn.IFS($C56&lt;$D$14,T$14,
$C56&lt;$D$15,T$15,
$C56&lt;$D$16,T$16)</f>
        <v>0.05</v>
      </c>
      <c r="U56" s="52" cm="1">
        <f t="array" aca="1" ref="U56" ca="1">_xlfn.IFS($C56&lt;$D$14,U$14,
$C56&lt;$D$15,U$15,
$C56&lt;$D$16,U$16)</f>
        <v>0</v>
      </c>
      <c r="V56" s="19" cm="1">
        <f t="array" aca="1" ref="V56" ca="1">_xlfn.IFS($C56&lt;$D$14,V$14,
$C56&lt;$D$15,V$15,
$C56&lt;$D$16,V$16)</f>
        <v>10000</v>
      </c>
      <c r="W56" s="52"/>
      <c r="X56" s="52"/>
      <c r="Y56" s="52"/>
      <c r="Z56" s="52"/>
      <c r="AA56" s="52" cm="1">
        <f t="array" aca="1" ref="AA56" ca="1">_xlfn.IFS($C56&lt;$Z$14,AA$14,
$C56&lt;$Z$15,AA$15,
$C56&lt;$Z$16,AA$16)</f>
        <v>0.14000000000000001</v>
      </c>
      <c r="AB56" s="52" cm="1">
        <f t="array" aca="1" ref="AB56" ca="1">_xlfn.IFS($C56&lt;$Z$14,AB$14,
$C56&lt;$Z$15,AB$15,
$C56&lt;$Z$16,AB$16)</f>
        <v>0.16</v>
      </c>
      <c r="AC56" s="52" cm="1">
        <f t="array" aca="1" ref="AC56" ca="1">_xlfn.IFS($C56&lt;$Z$14,AC$14,
$C56&lt;$Z$15,AC$15,
$C56&lt;$Z$16,AC$16)</f>
        <v>0.2</v>
      </c>
      <c r="AD56" s="52" cm="1">
        <f t="array" aca="1" ref="AD56" ca="1">_xlfn.IFS($C56&lt;$Z$14,AD$14,
$C56&lt;$Z$15,AD$15,
$C56&lt;$Z$16,AD$16)</f>
        <v>0.05</v>
      </c>
      <c r="AE56" s="52" cm="1">
        <f t="array" aca="1" ref="AE56" ca="1">_xlfn.IFS($C56&lt;$Z$14,AE$14,
$C56&lt;$Z$15,AE$15,
$C56&lt;$Z$16,AE$16)</f>
        <v>0.03</v>
      </c>
    </row>
    <row r="57" spans="1:31" ht="14.25" customHeight="1" x14ac:dyDescent="0.3">
      <c r="B57">
        <v>0.63244218699462806</v>
      </c>
      <c r="C57" s="52">
        <f t="shared" ca="1" si="0"/>
        <v>0.21347119235156653</v>
      </c>
      <c r="D57" s="2"/>
      <c r="E57" s="52" cm="1">
        <f t="array" aca="1" ref="E57" ca="1">_xlfn.IFS($C57&lt;$D$14,E$14,
$C57&lt;$D$15,E$15,
$C57&lt;$D$16,E$16)</f>
        <v>0.1</v>
      </c>
      <c r="F57" s="52" cm="1">
        <f t="array" aca="1" ref="F57" ca="1">_xlfn.IFS($C57&lt;$D$14,F$14,
$C57&lt;$D$15,F$15,
$C57&lt;$D$16,F$16)</f>
        <v>0.05</v>
      </c>
      <c r="G57" s="52" cm="1">
        <f t="array" aca="1" ref="G57" ca="1">_xlfn.IFS($C57&lt;$D$14,G$14,
$C57&lt;$D$15,G$15,
$C57&lt;$D$16,G$16)</f>
        <v>0.05</v>
      </c>
      <c r="H57" s="52" cm="1">
        <f t="array" aca="1" ref="H57" ca="1">_xlfn.IFS($C57&lt;$D$14,H$14,
$C57&lt;$D$15,H$15,
$C57&lt;$D$16,H$16)</f>
        <v>0.1</v>
      </c>
      <c r="I57" s="52" cm="1">
        <f t="array" aca="1" ref="I57" ca="1">_xlfn.IFS($C57&lt;$D$14,I$14,
$C57&lt;$D$15,I$15,
$C57&lt;$D$16,I$16)</f>
        <v>0</v>
      </c>
      <c r="J57" s="52"/>
      <c r="L57" s="52"/>
      <c r="M57" s="52"/>
      <c r="N57" s="52"/>
      <c r="O57" s="52" cm="1">
        <f t="array" aca="1" ref="O57" ca="1">_xlfn.IFS($C57&lt;$D$14,O$14,
$C57&lt;$D$15,O$15,
$C57&lt;$D$16,O$16)</f>
        <v>0.05</v>
      </c>
      <c r="P57" s="52" cm="1">
        <f t="array" aca="1" ref="P57" ca="1">_xlfn.IFS($C57&lt;$D$14,P$14,
$C57&lt;$D$15,P$15,
$C57&lt;$D$16,P$16)</f>
        <v>0.04</v>
      </c>
      <c r="Q57" s="52" cm="1">
        <f t="array" aca="1" ref="Q57" ca="1">_xlfn.IFS($C57&lt;$D$14,Q$14,
$C57&lt;$D$15,Q$15,
$C57&lt;$D$16,Q$16)</f>
        <v>0.08</v>
      </c>
      <c r="R57" s="52" cm="1">
        <f t="array" aca="1" ref="R57" ca="1">_xlfn.IFS($C57&lt;$D$14,R$14,
$C57&lt;$D$15,R$15,
$C57&lt;$D$16,R$16)</f>
        <v>0.06</v>
      </c>
      <c r="S57" s="52" cm="1">
        <f t="array" aca="1" ref="S57" ca="1">_xlfn.IFS($C57&lt;$D$14,S$14,
$C57&lt;$D$15,S$15,
$C57&lt;$D$16,S$16)</f>
        <v>0.04</v>
      </c>
      <c r="T57" s="52" cm="1">
        <f t="array" aca="1" ref="T57" ca="1">_xlfn.IFS($C57&lt;$D$14,T$14,
$C57&lt;$D$15,T$15,
$C57&lt;$D$16,T$16)</f>
        <v>0.05</v>
      </c>
      <c r="U57" s="52" cm="1">
        <f t="array" aca="1" ref="U57" ca="1">_xlfn.IFS($C57&lt;$D$14,U$14,
$C57&lt;$D$15,U$15,
$C57&lt;$D$16,U$16)</f>
        <v>0</v>
      </c>
      <c r="V57" s="19" cm="1">
        <f t="array" aca="1" ref="V57" ca="1">_xlfn.IFS($C57&lt;$D$14,V$14,
$C57&lt;$D$15,V$15,
$C57&lt;$D$16,V$16)</f>
        <v>10000</v>
      </c>
      <c r="W57" s="52"/>
      <c r="X57" s="52"/>
      <c r="Y57" s="52"/>
      <c r="Z57" s="52"/>
      <c r="AA57" s="52" cm="1">
        <f t="array" aca="1" ref="AA57" ca="1">_xlfn.IFS($C57&lt;$Z$14,AA$14,
$C57&lt;$Z$15,AA$15,
$C57&lt;$Z$16,AA$16)</f>
        <v>0.14000000000000001</v>
      </c>
      <c r="AB57" s="52" cm="1">
        <f t="array" aca="1" ref="AB57" ca="1">_xlfn.IFS($C57&lt;$Z$14,AB$14,
$C57&lt;$Z$15,AB$15,
$C57&lt;$Z$16,AB$16)</f>
        <v>0.16</v>
      </c>
      <c r="AC57" s="52" cm="1">
        <f t="array" aca="1" ref="AC57" ca="1">_xlfn.IFS($C57&lt;$Z$14,AC$14,
$C57&lt;$Z$15,AC$15,
$C57&lt;$Z$16,AC$16)</f>
        <v>0.2</v>
      </c>
      <c r="AD57" s="52" cm="1">
        <f t="array" aca="1" ref="AD57" ca="1">_xlfn.IFS($C57&lt;$Z$14,AD$14,
$C57&lt;$Z$15,AD$15,
$C57&lt;$Z$16,AD$16)</f>
        <v>0.05</v>
      </c>
      <c r="AE57" s="52" cm="1">
        <f t="array" aca="1" ref="AE57" ca="1">_xlfn.IFS($C57&lt;$Z$14,AE$14,
$C57&lt;$Z$15,AE$15,
$C57&lt;$Z$16,AE$16)</f>
        <v>0.03</v>
      </c>
    </row>
    <row r="58" spans="1:31" ht="14.25" customHeight="1" x14ac:dyDescent="0.3">
      <c r="B58">
        <v>9.8462824380184721E-2</v>
      </c>
      <c r="C58" s="52">
        <f t="shared" ca="1" si="0"/>
        <v>0.27180056460941482</v>
      </c>
      <c r="D58" s="2"/>
      <c r="E58" s="52" cm="1">
        <f t="array" aca="1" ref="E58" ca="1">_xlfn.IFS($C58&lt;$D$14,E$14,
$C58&lt;$D$15,E$15,
$C58&lt;$D$16,E$16)</f>
        <v>0.1</v>
      </c>
      <c r="F58" s="52" cm="1">
        <f t="array" aca="1" ref="F58" ca="1">_xlfn.IFS($C58&lt;$D$14,F$14,
$C58&lt;$D$15,F$15,
$C58&lt;$D$16,F$16)</f>
        <v>0.05</v>
      </c>
      <c r="G58" s="52" cm="1">
        <f t="array" aca="1" ref="G58" ca="1">_xlfn.IFS($C58&lt;$D$14,G$14,
$C58&lt;$D$15,G$15,
$C58&lt;$D$16,G$16)</f>
        <v>0.05</v>
      </c>
      <c r="H58" s="52" cm="1">
        <f t="array" aca="1" ref="H58" ca="1">_xlfn.IFS($C58&lt;$D$14,H$14,
$C58&lt;$D$15,H$15,
$C58&lt;$D$16,H$16)</f>
        <v>0.1</v>
      </c>
      <c r="I58" s="52" cm="1">
        <f t="array" aca="1" ref="I58" ca="1">_xlfn.IFS($C58&lt;$D$14,I$14,
$C58&lt;$D$15,I$15,
$C58&lt;$D$16,I$16)</f>
        <v>0</v>
      </c>
      <c r="J58" s="52"/>
      <c r="L58" s="52"/>
      <c r="M58" s="52"/>
      <c r="N58" s="52"/>
      <c r="O58" s="52" cm="1">
        <f t="array" aca="1" ref="O58" ca="1">_xlfn.IFS($C58&lt;$D$14,O$14,
$C58&lt;$D$15,O$15,
$C58&lt;$D$16,O$16)</f>
        <v>0.05</v>
      </c>
      <c r="P58" s="52" cm="1">
        <f t="array" aca="1" ref="P58" ca="1">_xlfn.IFS($C58&lt;$D$14,P$14,
$C58&lt;$D$15,P$15,
$C58&lt;$D$16,P$16)</f>
        <v>0.04</v>
      </c>
      <c r="Q58" s="52" cm="1">
        <f t="array" aca="1" ref="Q58" ca="1">_xlfn.IFS($C58&lt;$D$14,Q$14,
$C58&lt;$D$15,Q$15,
$C58&lt;$D$16,Q$16)</f>
        <v>0.08</v>
      </c>
      <c r="R58" s="52" cm="1">
        <f t="array" aca="1" ref="R58" ca="1">_xlfn.IFS($C58&lt;$D$14,R$14,
$C58&lt;$D$15,R$15,
$C58&lt;$D$16,R$16)</f>
        <v>0.06</v>
      </c>
      <c r="S58" s="52" cm="1">
        <f t="array" aca="1" ref="S58" ca="1">_xlfn.IFS($C58&lt;$D$14,S$14,
$C58&lt;$D$15,S$15,
$C58&lt;$D$16,S$16)</f>
        <v>0.04</v>
      </c>
      <c r="T58" s="52" cm="1">
        <f t="array" aca="1" ref="T58" ca="1">_xlfn.IFS($C58&lt;$D$14,T$14,
$C58&lt;$D$15,T$15,
$C58&lt;$D$16,T$16)</f>
        <v>0.05</v>
      </c>
      <c r="U58" s="52" cm="1">
        <f t="array" aca="1" ref="U58" ca="1">_xlfn.IFS($C58&lt;$D$14,U$14,
$C58&lt;$D$15,U$15,
$C58&lt;$D$16,U$16)</f>
        <v>0</v>
      </c>
      <c r="V58" s="19" cm="1">
        <f t="array" aca="1" ref="V58" ca="1">_xlfn.IFS($C58&lt;$D$14,V$14,
$C58&lt;$D$15,V$15,
$C58&lt;$D$16,V$16)</f>
        <v>10000</v>
      </c>
      <c r="W58" s="52"/>
      <c r="X58" s="52"/>
      <c r="Y58" s="52"/>
      <c r="Z58" s="52"/>
      <c r="AA58" s="52" cm="1">
        <f t="array" aca="1" ref="AA58" ca="1">_xlfn.IFS($C58&lt;$Z$14,AA$14,
$C58&lt;$Z$15,AA$15,
$C58&lt;$Z$16,AA$16)</f>
        <v>0.14000000000000001</v>
      </c>
      <c r="AB58" s="52" cm="1">
        <f t="array" aca="1" ref="AB58" ca="1">_xlfn.IFS($C58&lt;$Z$14,AB$14,
$C58&lt;$Z$15,AB$15,
$C58&lt;$Z$16,AB$16)</f>
        <v>0.16</v>
      </c>
      <c r="AC58" s="52" cm="1">
        <f t="array" aca="1" ref="AC58" ca="1">_xlfn.IFS($C58&lt;$Z$14,AC$14,
$C58&lt;$Z$15,AC$15,
$C58&lt;$Z$16,AC$16)</f>
        <v>0.2</v>
      </c>
      <c r="AD58" s="52" cm="1">
        <f t="array" aca="1" ref="AD58" ca="1">_xlfn.IFS($C58&lt;$Z$14,AD$14,
$C58&lt;$Z$15,AD$15,
$C58&lt;$Z$16,AD$16)</f>
        <v>0.05</v>
      </c>
      <c r="AE58" s="52" cm="1">
        <f t="array" aca="1" ref="AE58" ca="1">_xlfn.IFS($C58&lt;$Z$14,AE$14,
$C58&lt;$Z$15,AE$15,
$C58&lt;$Z$16,AE$16)</f>
        <v>0.03</v>
      </c>
    </row>
    <row r="59" spans="1:31" ht="14.25" customHeight="1" x14ac:dyDescent="0.3">
      <c r="B59">
        <v>0.25654279449957917</v>
      </c>
      <c r="C59" s="52">
        <f t="shared" ca="1" si="0"/>
        <v>0.34044586739651661</v>
      </c>
      <c r="D59" s="2"/>
      <c r="E59" s="52" cm="1">
        <f t="array" aca="1" ref="E59" ca="1">_xlfn.IFS($C59&lt;$D$14,E$14,
$C59&lt;$D$15,E$15,
$C59&lt;$D$16,E$16)</f>
        <v>0.1</v>
      </c>
      <c r="F59" s="52" cm="1">
        <f t="array" aca="1" ref="F59" ca="1">_xlfn.IFS($C59&lt;$D$14,F$14,
$C59&lt;$D$15,F$15,
$C59&lt;$D$16,F$16)</f>
        <v>0.05</v>
      </c>
      <c r="G59" s="52" cm="1">
        <f t="array" aca="1" ref="G59" ca="1">_xlfn.IFS($C59&lt;$D$14,G$14,
$C59&lt;$D$15,G$15,
$C59&lt;$D$16,G$16)</f>
        <v>0.05</v>
      </c>
      <c r="H59" s="52" cm="1">
        <f t="array" aca="1" ref="H59" ca="1">_xlfn.IFS($C59&lt;$D$14,H$14,
$C59&lt;$D$15,H$15,
$C59&lt;$D$16,H$16)</f>
        <v>0.1</v>
      </c>
      <c r="I59" s="52" cm="1">
        <f t="array" aca="1" ref="I59" ca="1">_xlfn.IFS($C59&lt;$D$14,I$14,
$C59&lt;$D$15,I$15,
$C59&lt;$D$16,I$16)</f>
        <v>0</v>
      </c>
      <c r="J59" s="52"/>
      <c r="L59" s="52"/>
      <c r="M59" s="52"/>
      <c r="N59" s="52"/>
      <c r="O59" s="52" cm="1">
        <f t="array" aca="1" ref="O59" ca="1">_xlfn.IFS($C59&lt;$D$14,O$14,
$C59&lt;$D$15,O$15,
$C59&lt;$D$16,O$16)</f>
        <v>0.05</v>
      </c>
      <c r="P59" s="52" cm="1">
        <f t="array" aca="1" ref="P59" ca="1">_xlfn.IFS($C59&lt;$D$14,P$14,
$C59&lt;$D$15,P$15,
$C59&lt;$D$16,P$16)</f>
        <v>0.04</v>
      </c>
      <c r="Q59" s="52" cm="1">
        <f t="array" aca="1" ref="Q59" ca="1">_xlfn.IFS($C59&lt;$D$14,Q$14,
$C59&lt;$D$15,Q$15,
$C59&lt;$D$16,Q$16)</f>
        <v>0.08</v>
      </c>
      <c r="R59" s="52" cm="1">
        <f t="array" aca="1" ref="R59" ca="1">_xlfn.IFS($C59&lt;$D$14,R$14,
$C59&lt;$D$15,R$15,
$C59&lt;$D$16,R$16)</f>
        <v>0.06</v>
      </c>
      <c r="S59" s="52" cm="1">
        <f t="array" aca="1" ref="S59" ca="1">_xlfn.IFS($C59&lt;$D$14,S$14,
$C59&lt;$D$15,S$15,
$C59&lt;$D$16,S$16)</f>
        <v>0.04</v>
      </c>
      <c r="T59" s="52" cm="1">
        <f t="array" aca="1" ref="T59" ca="1">_xlfn.IFS($C59&lt;$D$14,T$14,
$C59&lt;$D$15,T$15,
$C59&lt;$D$16,T$16)</f>
        <v>0.05</v>
      </c>
      <c r="U59" s="52" cm="1">
        <f t="array" aca="1" ref="U59" ca="1">_xlfn.IFS($C59&lt;$D$14,U$14,
$C59&lt;$D$15,U$15,
$C59&lt;$D$16,U$16)</f>
        <v>0</v>
      </c>
      <c r="V59" s="19" cm="1">
        <f t="array" aca="1" ref="V59" ca="1">_xlfn.IFS($C59&lt;$D$14,V$14,
$C59&lt;$D$15,V$15,
$C59&lt;$D$16,V$16)</f>
        <v>10000</v>
      </c>
      <c r="W59" s="52"/>
      <c r="X59" s="52"/>
      <c r="Y59" s="52"/>
      <c r="Z59" s="52"/>
      <c r="AA59" s="52" cm="1">
        <f t="array" aca="1" ref="AA59" ca="1">_xlfn.IFS($C59&lt;$Z$14,AA$14,
$C59&lt;$Z$15,AA$15,
$C59&lt;$Z$16,AA$16)</f>
        <v>0.14000000000000001</v>
      </c>
      <c r="AB59" s="52" cm="1">
        <f t="array" aca="1" ref="AB59" ca="1">_xlfn.IFS($C59&lt;$Z$14,AB$14,
$C59&lt;$Z$15,AB$15,
$C59&lt;$Z$16,AB$16)</f>
        <v>0.16</v>
      </c>
      <c r="AC59" s="52" cm="1">
        <f t="array" aca="1" ref="AC59" ca="1">_xlfn.IFS($C59&lt;$Z$14,AC$14,
$C59&lt;$Z$15,AC$15,
$C59&lt;$Z$16,AC$16)</f>
        <v>0.2</v>
      </c>
      <c r="AD59" s="52" cm="1">
        <f t="array" aca="1" ref="AD59" ca="1">_xlfn.IFS($C59&lt;$Z$14,AD$14,
$C59&lt;$Z$15,AD$15,
$C59&lt;$Z$16,AD$16)</f>
        <v>0.05</v>
      </c>
      <c r="AE59" s="52" cm="1">
        <f t="array" aca="1" ref="AE59" ca="1">_xlfn.IFS($C59&lt;$Z$14,AE$14,
$C59&lt;$Z$15,AE$15,
$C59&lt;$Z$16,AE$16)</f>
        <v>0.03</v>
      </c>
    </row>
    <row r="60" spans="1:31" ht="14.25" customHeight="1" x14ac:dyDescent="0.3">
      <c r="B60">
        <v>0.84716645964765791</v>
      </c>
      <c r="C60" s="52">
        <f t="shared" ca="1" si="0"/>
        <v>0.53360359251645173</v>
      </c>
      <c r="D60" s="2"/>
      <c r="E60" s="52" cm="1">
        <f t="array" aca="1" ref="E60" ca="1">_xlfn.IFS($C60&lt;$D$14,E$14,
$C60&lt;$D$15,E$15,
$C60&lt;$D$16,E$16)</f>
        <v>0.1</v>
      </c>
      <c r="F60" s="52" cm="1">
        <f t="array" aca="1" ref="F60" ca="1">_xlfn.IFS($C60&lt;$D$14,F$14,
$C60&lt;$D$15,F$15,
$C60&lt;$D$16,F$16)</f>
        <v>0.05</v>
      </c>
      <c r="G60" s="52" cm="1">
        <f t="array" aca="1" ref="G60" ca="1">_xlfn.IFS($C60&lt;$D$14,G$14,
$C60&lt;$D$15,G$15,
$C60&lt;$D$16,G$16)</f>
        <v>0.05</v>
      </c>
      <c r="H60" s="52" cm="1">
        <f t="array" aca="1" ref="H60" ca="1">_xlfn.IFS($C60&lt;$D$14,H$14,
$C60&lt;$D$15,H$15,
$C60&lt;$D$16,H$16)</f>
        <v>0.1</v>
      </c>
      <c r="I60" s="52" cm="1">
        <f t="array" aca="1" ref="I60" ca="1">_xlfn.IFS($C60&lt;$D$14,I$14,
$C60&lt;$D$15,I$15,
$C60&lt;$D$16,I$16)</f>
        <v>0</v>
      </c>
      <c r="J60" s="52"/>
      <c r="L60" s="52"/>
      <c r="M60" s="52"/>
      <c r="N60" s="52"/>
      <c r="O60" s="52" cm="1">
        <f t="array" aca="1" ref="O60" ca="1">_xlfn.IFS($C60&lt;$D$14,O$14,
$C60&lt;$D$15,O$15,
$C60&lt;$D$16,O$16)</f>
        <v>0.05</v>
      </c>
      <c r="P60" s="52" cm="1">
        <f t="array" aca="1" ref="P60" ca="1">_xlfn.IFS($C60&lt;$D$14,P$14,
$C60&lt;$D$15,P$15,
$C60&lt;$D$16,P$16)</f>
        <v>0.04</v>
      </c>
      <c r="Q60" s="52" cm="1">
        <f t="array" aca="1" ref="Q60" ca="1">_xlfn.IFS($C60&lt;$D$14,Q$14,
$C60&lt;$D$15,Q$15,
$C60&lt;$D$16,Q$16)</f>
        <v>0.08</v>
      </c>
      <c r="R60" s="52" cm="1">
        <f t="array" aca="1" ref="R60" ca="1">_xlfn.IFS($C60&lt;$D$14,R$14,
$C60&lt;$D$15,R$15,
$C60&lt;$D$16,R$16)</f>
        <v>0.06</v>
      </c>
      <c r="S60" s="52" cm="1">
        <f t="array" aca="1" ref="S60" ca="1">_xlfn.IFS($C60&lt;$D$14,S$14,
$C60&lt;$D$15,S$15,
$C60&lt;$D$16,S$16)</f>
        <v>0.04</v>
      </c>
      <c r="T60" s="52" cm="1">
        <f t="array" aca="1" ref="T60" ca="1">_xlfn.IFS($C60&lt;$D$14,T$14,
$C60&lt;$D$15,T$15,
$C60&lt;$D$16,T$16)</f>
        <v>0.05</v>
      </c>
      <c r="U60" s="52" cm="1">
        <f t="array" aca="1" ref="U60" ca="1">_xlfn.IFS($C60&lt;$D$14,U$14,
$C60&lt;$D$15,U$15,
$C60&lt;$D$16,U$16)</f>
        <v>0</v>
      </c>
      <c r="V60" s="19" cm="1">
        <f t="array" aca="1" ref="V60" ca="1">_xlfn.IFS($C60&lt;$D$14,V$14,
$C60&lt;$D$15,V$15,
$C60&lt;$D$16,V$16)</f>
        <v>10000</v>
      </c>
      <c r="W60" s="52"/>
      <c r="X60" s="52"/>
      <c r="Y60" s="52"/>
      <c r="Z60" s="52"/>
      <c r="AA60" s="52" cm="1">
        <f t="array" aca="1" ref="AA60" ca="1">_xlfn.IFS($C60&lt;$Z$14,AA$14,
$C60&lt;$Z$15,AA$15,
$C60&lt;$Z$16,AA$16)</f>
        <v>0.14000000000000001</v>
      </c>
      <c r="AB60" s="52" cm="1">
        <f t="array" aca="1" ref="AB60" ca="1">_xlfn.IFS($C60&lt;$Z$14,AB$14,
$C60&lt;$Z$15,AB$15,
$C60&lt;$Z$16,AB$16)</f>
        <v>0.16</v>
      </c>
      <c r="AC60" s="52" cm="1">
        <f t="array" aca="1" ref="AC60" ca="1">_xlfn.IFS($C60&lt;$Z$14,AC$14,
$C60&lt;$Z$15,AC$15,
$C60&lt;$Z$16,AC$16)</f>
        <v>0.2</v>
      </c>
      <c r="AD60" s="52" cm="1">
        <f t="array" aca="1" ref="AD60" ca="1">_xlfn.IFS($C60&lt;$Z$14,AD$14,
$C60&lt;$Z$15,AD$15,
$C60&lt;$Z$16,AD$16)</f>
        <v>0.05</v>
      </c>
      <c r="AE60" s="52" cm="1">
        <f t="array" aca="1" ref="AE60" ca="1">_xlfn.IFS($C60&lt;$Z$14,AE$14,
$C60&lt;$Z$15,AE$15,
$C60&lt;$Z$16,AE$16)</f>
        <v>0.03</v>
      </c>
    </row>
    <row r="61" spans="1:31" ht="14.25" customHeight="1" x14ac:dyDescent="0.3"/>
    <row r="62" spans="1:31" ht="14.25" customHeight="1" x14ac:dyDescent="0.3"/>
    <row r="63" spans="1:31" ht="14.25" customHeight="1" x14ac:dyDescent="0.3"/>
    <row r="64" spans="1:31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E12:I12"/>
    <mergeCell ref="O12:T12"/>
    <mergeCell ref="AA12:AE12"/>
  </mergeCell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D5A2-AF07-478F-AB0A-82740B96FDBB}">
  <sheetPr codeName="Sheet5"/>
  <dimension ref="A2:BR1022"/>
  <sheetViews>
    <sheetView zoomScale="65" zoomScaleNormal="181" workbookViewId="0">
      <pane xSplit="3" topLeftCell="AY1" activePane="topRight" state="frozen"/>
      <selection pane="topRight" activeCell="AM21" sqref="AM21:AM22"/>
    </sheetView>
  </sheetViews>
  <sheetFormatPr defaultColWidth="12.6640625" defaultRowHeight="15" customHeight="1" outlineLevelRow="1" x14ac:dyDescent="0.3"/>
  <cols>
    <col min="1" max="2" width="5.6640625" customWidth="1"/>
    <col min="3" max="3" width="11.44140625" customWidth="1"/>
    <col min="4" max="4" width="19.21875" customWidth="1"/>
    <col min="5" max="7" width="14.109375" customWidth="1"/>
    <col min="8" max="8" width="15.88671875" customWidth="1"/>
    <col min="9" max="9" width="14.109375" customWidth="1"/>
    <col min="10" max="13" width="14.109375" hidden="1" customWidth="1"/>
    <col min="14" max="16" width="14.109375" customWidth="1"/>
    <col min="17" max="17" width="13.88671875" customWidth="1"/>
    <col min="18" max="18" width="19.21875" customWidth="1"/>
    <col min="19" max="19" width="14.77734375" customWidth="1"/>
    <col min="20" max="20" width="15.88671875" customWidth="1"/>
    <col min="21" max="21" width="18.44140625" customWidth="1"/>
    <col min="22" max="22" width="13.88671875" customWidth="1"/>
    <col min="23" max="23" width="20.6640625" customWidth="1"/>
    <col min="24" max="26" width="26.77734375" customWidth="1"/>
    <col min="27" max="27" width="21" customWidth="1"/>
    <col min="28" max="31" width="18.44140625" customWidth="1"/>
    <col min="32" max="32" width="30.77734375" customWidth="1"/>
    <col min="33" max="35" width="18.44140625" customWidth="1"/>
    <col min="36" max="36" width="20" customWidth="1"/>
    <col min="37" max="37" width="13.88671875" customWidth="1"/>
    <col min="38" max="38" width="16.88671875" bestFit="1" customWidth="1"/>
    <col min="39" max="39" width="18" customWidth="1"/>
    <col min="40" max="40" width="16" customWidth="1"/>
    <col min="41" max="41" width="17.6640625" customWidth="1"/>
    <col min="42" max="44" width="16" customWidth="1"/>
    <col min="45" max="45" width="16.44140625" customWidth="1"/>
    <col min="46" max="46" width="16.5546875" customWidth="1"/>
    <col min="47" max="47" width="16.6640625" customWidth="1"/>
    <col min="48" max="48" width="17.21875" customWidth="1"/>
    <col min="49" max="50" width="17.44140625" customWidth="1"/>
    <col min="51" max="51" width="17.77734375" customWidth="1"/>
    <col min="52" max="52" width="18.6640625" customWidth="1"/>
    <col min="53" max="53" width="13.109375" customWidth="1"/>
    <col min="54" max="57" width="20.44140625" customWidth="1"/>
    <col min="58" max="58" width="18" customWidth="1"/>
    <col min="59" max="59" width="15.33203125" customWidth="1"/>
    <col min="60" max="60" width="15.77734375" bestFit="1" customWidth="1"/>
    <col min="61" max="61" width="16.6640625" customWidth="1"/>
  </cols>
  <sheetData>
    <row r="2" spans="5:70" ht="15" customHeight="1" x14ac:dyDescent="0.3">
      <c r="BE2" t="s">
        <v>0</v>
      </c>
      <c r="BF2" s="1">
        <v>0.1</v>
      </c>
    </row>
    <row r="3" spans="5:70" ht="15" customHeight="1" x14ac:dyDescent="0.3">
      <c r="BE3" s="2" t="s">
        <v>1</v>
      </c>
      <c r="BF3" s="1" t="e">
        <f>COUNTIF(#REF!,"Goal Met")/COUNTA('Calc Engine'!$AL$8:$AL$17)</f>
        <v>#REF!</v>
      </c>
    </row>
    <row r="4" spans="5:70" ht="15" customHeight="1" x14ac:dyDescent="0.3">
      <c r="AM4" t="s">
        <v>2</v>
      </c>
      <c r="AS4" s="3"/>
      <c r="AT4" s="3"/>
      <c r="AU4" s="3"/>
      <c r="AV4" s="3"/>
    </row>
    <row r="5" spans="5:70" ht="15" customHeight="1" x14ac:dyDescent="0.3">
      <c r="E5" s="73" t="s">
        <v>3</v>
      </c>
      <c r="F5" s="75"/>
      <c r="G5" s="75"/>
      <c r="H5" s="75"/>
      <c r="I5" s="75"/>
      <c r="AN5" s="3"/>
      <c r="AO5" s="3"/>
      <c r="AP5" s="69" t="s">
        <v>4</v>
      </c>
      <c r="AQ5" s="70"/>
      <c r="AR5" s="70"/>
      <c r="BG5" s="4" t="s">
        <v>5</v>
      </c>
      <c r="BH5">
        <f ca="1">SUM(Sum_Of_Wt_Adj_Surplus[Total])</f>
        <v>-9481062.8201552127</v>
      </c>
      <c r="BR5" s="5"/>
    </row>
    <row r="6" spans="5:70" ht="15" customHeight="1" x14ac:dyDescent="0.3">
      <c r="E6" s="3"/>
      <c r="AN6" s="3"/>
      <c r="AO6" s="3"/>
      <c r="AP6" s="69" t="s">
        <v>6</v>
      </c>
      <c r="AQ6" s="70"/>
      <c r="AR6" s="70"/>
      <c r="AS6" s="3"/>
      <c r="AT6" s="3"/>
    </row>
    <row r="7" spans="5:70" ht="15" customHeight="1" x14ac:dyDescent="0.3">
      <c r="E7" s="3"/>
      <c r="AL7" s="6" t="s">
        <v>7</v>
      </c>
      <c r="AM7" s="6" t="s">
        <v>8</v>
      </c>
      <c r="AN7" s="7" t="s">
        <v>9</v>
      </c>
      <c r="AP7" s="7" t="s">
        <v>10</v>
      </c>
      <c r="AQ7" s="8" t="s">
        <v>11</v>
      </c>
      <c r="AR7" s="6" t="s">
        <v>12</v>
      </c>
      <c r="AS7" s="6" t="s">
        <v>13</v>
      </c>
      <c r="AT7" s="6" t="s">
        <v>14</v>
      </c>
      <c r="AV7" s="9" t="s">
        <v>15</v>
      </c>
      <c r="AW7" s="8" t="s">
        <v>11</v>
      </c>
      <c r="AX7" s="6" t="s">
        <v>12</v>
      </c>
      <c r="AY7" s="6" t="s">
        <v>13</v>
      </c>
      <c r="AZ7" s="6" t="s">
        <v>14</v>
      </c>
      <c r="BB7" s="8" t="s">
        <v>16</v>
      </c>
      <c r="BC7" s="8" t="s">
        <v>11</v>
      </c>
      <c r="BD7" s="6" t="s">
        <v>12</v>
      </c>
      <c r="BE7" s="6" t="s">
        <v>17</v>
      </c>
      <c r="BF7" s="6" t="s">
        <v>14</v>
      </c>
      <c r="BH7" s="6" t="s">
        <v>18</v>
      </c>
      <c r="BI7" s="6" t="s">
        <v>19</v>
      </c>
      <c r="BJ7" s="6" t="s">
        <v>11</v>
      </c>
    </row>
    <row r="8" spans="5:70" ht="15" customHeight="1" x14ac:dyDescent="0.3">
      <c r="AL8" t="str" cm="1">
        <f t="array" ref="AL8:AL17">[1]!Goal_Input[Goal]</f>
        <v>Own Health Fund</v>
      </c>
      <c r="AM8" s="11" cm="1">
        <f t="array" ref="AM8:AM17">[1]!Goal_Input[Goal Importance]</f>
        <v>1</v>
      </c>
      <c r="AN8" s="10" cm="1">
        <f t="array" ref="AN8:AN17">[1]!Goal_Input[[At  Age ]]</f>
        <v>32</v>
      </c>
      <c r="AP8" s="11">
        <f>[1]Details!M14</f>
        <v>660000</v>
      </c>
      <c r="AQ8" s="12" t="b">
        <f ca="1">IFERROR(IF(ISBLANK('Calc Engine'!$AL8),"No Goal",('Calc Engine'!$AP8*(1-$BF$2))&lt;=_xlfn.XLOOKUP('Calc Engine'!$AN8,Age,End_Of_Year_Value_Large_Cap)),"-")</f>
        <v>0</v>
      </c>
      <c r="AR8" s="11">
        <f ca="1">IF('Calc Engine'!$AP8&gt; 0,_xlfn.XLOOKUP(AN8,Age,End_Of_Year_Value_Large_Cap),0)</f>
        <v>221864.68374325396</v>
      </c>
      <c r="AS8" s="11">
        <f ca="1">'Calc Engine'!$AR8-'Calc Engine'!$AP8</f>
        <v>-438135.31625674607</v>
      </c>
      <c r="AT8" s="11">
        <f ca="1">PRODUCT('Calc Engine'!$AS8,'Calc Engine'!$AM8)</f>
        <v>-438135.31625674607</v>
      </c>
      <c r="AV8" s="11">
        <f>[1]Details!N14</f>
        <v>0</v>
      </c>
      <c r="AW8" s="11" t="b">
        <f ca="1">IFERROR(IF(ISBLANK('Calc Engine'!$AL8),"No Goal",('Calc Engine'!$AV8*(1-$BF$2))&lt;=_xlfn.XLOOKUP('Calc Engine'!$AN8,Age,End_Of_Year_Value_Mid_Cap)),"-")</f>
        <v>0</v>
      </c>
      <c r="AX8" s="11">
        <f>IF(Mid_Cap_Goal[[#This Row],[Mid Cap]]&gt;0,_xlfn.XLOOKUP(AN8,Age,End_Of_Year_Value_Mid_Cap),0)</f>
        <v>0</v>
      </c>
      <c r="AY8" s="11">
        <f>'Calc Engine'!$AX8-'Calc Engine'!$AV8</f>
        <v>0</v>
      </c>
      <c r="AZ8" s="11">
        <f>PRODUCT('Calc Engine'!$AY8,'Calc Engine'!$AM8)</f>
        <v>0</v>
      </c>
      <c r="BB8" s="11">
        <f>[1]Details!O14</f>
        <v>0</v>
      </c>
      <c r="BC8" s="12" t="b">
        <f ca="1">IFERROR(IF(ISBLANK('Calc Engine'!$AL8),"No Goal",('Calc Engine'!$BB8 * (1 -$BF$2))&lt;=_xlfn.XLOOKUP('Calc Engine'!$AN8,Age,End_Of_Year_Value_Small_Cap)),"-")</f>
        <v>1</v>
      </c>
      <c r="BD8" s="11">
        <f>IF(Small_Cap_Goal[[#This Row],[Small Cap]],_xlfn.XLOOKUP(AN8,Age,End_Of_Year_Value_Small_Cap),0)</f>
        <v>0</v>
      </c>
      <c r="BE8" s="11">
        <f>'Calc Engine'!$BD8-'Calc Engine'!$BB8</f>
        <v>0</v>
      </c>
      <c r="BF8" s="11">
        <f>PRODUCT('Calc Engine'!$BE8,'Calc Engine'!$AM8)</f>
        <v>0</v>
      </c>
      <c r="BH8" s="11" t="str">
        <f>AL8</f>
        <v>Own Health Fund</v>
      </c>
      <c r="BI8" s="14">
        <f ca="1">SUM(Small_Cap_Goal[[#This Row],[Wt_Adjusted_Surplus]],Mid_Cap_Goal[[#This Row],[Wt_Adjusted_Surplus]],Large_Cap_Goal[[#This Row],[Wt_Adjusted_Surplus]])</f>
        <v>-438135.31625674607</v>
      </c>
      <c r="BJ8" s="11" t="b">
        <f ca="1">Sum_Of_Wt_Adj_Surplus[[#This Row],[Total]]&gt;0</f>
        <v>0</v>
      </c>
      <c r="BN8" s="2"/>
    </row>
    <row r="9" spans="5:70" ht="15" customHeight="1" x14ac:dyDescent="0.3">
      <c r="AL9" s="10" t="str">
        <v>Marriage</v>
      </c>
      <c r="AM9" s="12">
        <v>1</v>
      </c>
      <c r="AN9" s="13">
        <v>35</v>
      </c>
      <c r="AP9" s="12">
        <f>[1]Details!M15</f>
        <v>0</v>
      </c>
      <c r="AQ9" s="12" t="b">
        <f ca="1">IFERROR(IF(ISBLANK('Calc Engine'!$AL9),"No Goal",('Calc Engine'!$AP9*(1-$BF$2))&lt;=_xlfn.XLOOKUP('Calc Engine'!$AN9,Age,End_Of_Year_Value_Large_Cap)),"-")</f>
        <v>0</v>
      </c>
      <c r="AR9" s="11">
        <f>IF('Calc Engine'!$AP9&gt; 0,_xlfn.XLOOKUP(AN9,Age,End_Of_Year_Value_Large_Cap),0)</f>
        <v>0</v>
      </c>
      <c r="AS9" s="12">
        <f>'Calc Engine'!$AR9-'Calc Engine'!$AP9</f>
        <v>0</v>
      </c>
      <c r="AT9" s="12">
        <f>PRODUCT('Calc Engine'!$AS9,'Calc Engine'!$AM9)</f>
        <v>0</v>
      </c>
      <c r="AV9" s="12">
        <f>[1]Details!N15</f>
        <v>340000</v>
      </c>
      <c r="AW9" s="11" t="b">
        <f ca="1">IFERROR(IF(ISBLANK('Calc Engine'!$AL9),"No Goal",('Calc Engine'!$AV9*(1-$BF$2))&lt;=_xlfn.XLOOKUP('Calc Engine'!$AN9,Age,End_Of_Year_Value_Mid_Cap)),"-")</f>
        <v>0</v>
      </c>
      <c r="AX9" s="11">
        <f ca="1">IF(Mid_Cap_Goal[[#This Row],[Mid Cap]]&gt;0,_xlfn.XLOOKUP(AN9,Age,End_Of_Year_Value_Mid_Cap),0)</f>
        <v>-117195.59604987086</v>
      </c>
      <c r="AY9" s="11">
        <f ca="1">'Calc Engine'!$AX9-'Calc Engine'!$AV9</f>
        <v>-457195.59604987083</v>
      </c>
      <c r="AZ9" s="11">
        <f ca="1">PRODUCT('Calc Engine'!$AY9,'Calc Engine'!$AM9)</f>
        <v>-457195.59604987083</v>
      </c>
      <c r="BB9" s="12">
        <f>[1]Details!O15</f>
        <v>0</v>
      </c>
      <c r="BC9" s="12" t="b">
        <f ca="1">IFERROR(IF(ISBLANK('Calc Engine'!$AL9),"No Goal",('Calc Engine'!$BB9 * (1 -$BF$2))&lt;=_xlfn.XLOOKUP('Calc Engine'!$AN9,Age,End_Of_Year_Value_Small_Cap)),"-")</f>
        <v>1</v>
      </c>
      <c r="BD9" s="11">
        <f>IF(Small_Cap_Goal[[#This Row],[Small Cap]],_xlfn.XLOOKUP(AN9,Age,End_Of_Year_Value_Small_Cap),0)</f>
        <v>0</v>
      </c>
      <c r="BE9" s="11">
        <f>'Calc Engine'!$BD9-'Calc Engine'!$BB9</f>
        <v>0</v>
      </c>
      <c r="BF9" s="11">
        <f>PRODUCT('Calc Engine'!$BE9,'Calc Engine'!$AM9)</f>
        <v>0</v>
      </c>
      <c r="BH9" s="11" t="str">
        <f t="shared" ref="BH9:BH17" si="0">AL9</f>
        <v>Marriage</v>
      </c>
      <c r="BI9" s="14">
        <f ca="1">SUM(Small_Cap_Goal[[#This Row],[Wt_Adjusted_Surplus]],Mid_Cap_Goal[[#This Row],[Wt_Adjusted_Surplus]],Large_Cap_Goal[[#This Row],[Wt_Adjusted_Surplus]])</f>
        <v>-457195.59604987083</v>
      </c>
      <c r="BJ9" s="11" t="b">
        <f ca="1">Sum_Of_Wt_Adj_Surplus[[#This Row],[Total]]&gt;0</f>
        <v>0</v>
      </c>
      <c r="BL9" s="2"/>
      <c r="BN9" s="2"/>
    </row>
    <row r="10" spans="5:70" ht="15" customHeight="1" x14ac:dyDescent="0.3">
      <c r="AL10" s="10" t="str">
        <v>Children Education</v>
      </c>
      <c r="AM10" s="11">
        <v>1</v>
      </c>
      <c r="AN10" s="10">
        <v>42</v>
      </c>
      <c r="AP10" s="11">
        <f>[1]Details!M16</f>
        <v>430000</v>
      </c>
      <c r="AQ10" s="12" t="b">
        <f ca="1">IFERROR(IF(ISBLANK('Calc Engine'!$AL10),"No Goal",('Calc Engine'!$AP10*(1-$BF$2))&lt;=_xlfn.XLOOKUP('Calc Engine'!$AN10,Age,End_Of_Year_Value_Large_Cap)),"-")</f>
        <v>0</v>
      </c>
      <c r="AR10" s="11">
        <f ca="1">IF('Calc Engine'!$AP10&gt; 0,_xlfn.XLOOKUP(AN10,Age,End_Of_Year_Value_Large_Cap),0)</f>
        <v>-1076850.6813874175</v>
      </c>
      <c r="AS10" s="11">
        <f ca="1">'Calc Engine'!$AR10-'Calc Engine'!$AP10</f>
        <v>-1506850.6813874175</v>
      </c>
      <c r="AT10" s="11">
        <f ca="1">PRODUCT('Calc Engine'!$AS10,'Calc Engine'!$AM10)</f>
        <v>-1506850.6813874175</v>
      </c>
      <c r="AV10" s="11">
        <f>[1]Details!N16</f>
        <v>0</v>
      </c>
      <c r="AW10" s="11" t="b">
        <f ca="1">IFERROR(IF(ISBLANK('Calc Engine'!$AL10),"No Goal",('Calc Engine'!$AV10*(1-$BF$2))&lt;=_xlfn.XLOOKUP('Calc Engine'!$AN10,Age,End_Of_Year_Value_Mid_Cap)),"-")</f>
        <v>0</v>
      </c>
      <c r="AX10" s="11">
        <f>IF(Mid_Cap_Goal[[#This Row],[Mid Cap]]&gt;0,_xlfn.XLOOKUP(AN10,Age,End_Of_Year_Value_Mid_Cap),0)</f>
        <v>0</v>
      </c>
      <c r="AY10" s="11">
        <f>'Calc Engine'!$AX10-'Calc Engine'!$AV10</f>
        <v>0</v>
      </c>
      <c r="AZ10" s="11">
        <f>PRODUCT('Calc Engine'!$AY10,'Calc Engine'!$AM10)</f>
        <v>0</v>
      </c>
      <c r="BB10" s="11">
        <f>[1]Details!O16</f>
        <v>0</v>
      </c>
      <c r="BC10" s="12" t="b">
        <f ca="1">IFERROR(IF(ISBLANK('Calc Engine'!$AL10),"No Goal",('Calc Engine'!$BB10 * (1 -$BF$2))&lt;=_xlfn.XLOOKUP('Calc Engine'!$AN10,Age,End_Of_Year_Value_Small_Cap)),"-")</f>
        <v>1</v>
      </c>
      <c r="BD10" s="11">
        <f>IF(Small_Cap_Goal[[#This Row],[Small Cap]],_xlfn.XLOOKUP(AN10,Age,End_Of_Year_Value_Small_Cap),0)</f>
        <v>0</v>
      </c>
      <c r="BE10" s="11">
        <f>'Calc Engine'!$BD10-'Calc Engine'!$BB10</f>
        <v>0</v>
      </c>
      <c r="BF10" s="11">
        <f>PRODUCT('Calc Engine'!$BE10,'Calc Engine'!$AM10)</f>
        <v>0</v>
      </c>
      <c r="BH10" s="11" t="str">
        <f t="shared" si="0"/>
        <v>Children Education</v>
      </c>
      <c r="BI10" s="14">
        <f ca="1">SUM(Small_Cap_Goal[[#This Row],[Wt_Adjusted_Surplus]],Mid_Cap_Goal[[#This Row],[Wt_Adjusted_Surplus]],Large_Cap_Goal[[#This Row],[Wt_Adjusted_Surplus]])</f>
        <v>-1506850.6813874175</v>
      </c>
      <c r="BJ10" s="11" t="b">
        <f ca="1">Sum_Of_Wt_Adj_Surplus[[#This Row],[Total]]&gt;0</f>
        <v>0</v>
      </c>
      <c r="BK10" s="2"/>
      <c r="BL10" s="2"/>
      <c r="BN10" s="2"/>
    </row>
    <row r="11" spans="5:70" ht="15" customHeight="1" x14ac:dyDescent="0.3">
      <c r="AL11" s="10" t="str">
        <v>House</v>
      </c>
      <c r="AM11" s="12">
        <v>1</v>
      </c>
      <c r="AN11" s="13">
        <v>52</v>
      </c>
      <c r="AP11" s="12">
        <f>[1]Details!M17</f>
        <v>6000000</v>
      </c>
      <c r="AQ11" s="12" t="b">
        <f ca="1">IFERROR(IF(ISBLANK('Calc Engine'!$AL11),"No Goal",('Calc Engine'!$AP11*(1-$BF$2))&lt;=_xlfn.XLOOKUP('Calc Engine'!$AN11,Age,End_Of_Year_Value_Large_Cap)),"-")</f>
        <v>0</v>
      </c>
      <c r="AR11" s="11">
        <f ca="1">IF('Calc Engine'!$AP11&gt; 0,_xlfn.XLOOKUP(AN11,Age,End_Of_Year_Value_Large_Cap),0)</f>
        <v>-4067740.7091931333</v>
      </c>
      <c r="AS11" s="12">
        <f ca="1">'Calc Engine'!$AR11-'Calc Engine'!$AP11</f>
        <v>-10067740.709193133</v>
      </c>
      <c r="AT11" s="12">
        <f ca="1">PRODUCT('Calc Engine'!$AS11,'Calc Engine'!$AM11)</f>
        <v>-10067740.709193133</v>
      </c>
      <c r="AV11" s="12">
        <f>[1]Details!N17</f>
        <v>0</v>
      </c>
      <c r="AW11" s="11" t="b">
        <f ca="1">IFERROR(IF(ISBLANK('Calc Engine'!$AL11),"No Goal",('Calc Engine'!$AV11*(1-$BF$2))&lt;=_xlfn.XLOOKUP('Calc Engine'!$AN11,Age,End_Of_Year_Value_Mid_Cap)),"-")</f>
        <v>0</v>
      </c>
      <c r="AX11" s="11">
        <f>IF(Mid_Cap_Goal[[#This Row],[Mid Cap]]&gt;0,_xlfn.XLOOKUP(AN11,Age,End_Of_Year_Value_Mid_Cap),0)</f>
        <v>0</v>
      </c>
      <c r="AY11" s="11">
        <f>'Calc Engine'!$AX11-'Calc Engine'!$AV11</f>
        <v>0</v>
      </c>
      <c r="AZ11" s="11">
        <f>PRODUCT('Calc Engine'!$AY11,'Calc Engine'!$AM11)</f>
        <v>0</v>
      </c>
      <c r="BB11" s="12">
        <f>[1]Details!O17</f>
        <v>0</v>
      </c>
      <c r="BC11" s="12" t="b">
        <f ca="1">IFERROR(IF(ISBLANK('Calc Engine'!$AL11),"No Goal",('Calc Engine'!$BB11 * (1 -$BF$2))&lt;=_xlfn.XLOOKUP('Calc Engine'!$AN11,Age,End_Of_Year_Value_Small_Cap)),"-")</f>
        <v>1</v>
      </c>
      <c r="BD11" s="11">
        <f>IF(Small_Cap_Goal[[#This Row],[Small Cap]],_xlfn.XLOOKUP(AN11,Age,End_Of_Year_Value_Small_Cap),0)</f>
        <v>0</v>
      </c>
      <c r="BE11" s="11">
        <f>'Calc Engine'!$BD11-'Calc Engine'!$BB11</f>
        <v>0</v>
      </c>
      <c r="BF11" s="11">
        <f>PRODUCT('Calc Engine'!$BE11,'Calc Engine'!$AM11)</f>
        <v>0</v>
      </c>
      <c r="BH11" s="11" t="str">
        <f t="shared" si="0"/>
        <v>House</v>
      </c>
      <c r="BI11" s="14">
        <f ca="1">SUM(Small_Cap_Goal[[#This Row],[Wt_Adjusted_Surplus]],Mid_Cap_Goal[[#This Row],[Wt_Adjusted_Surplus]],Large_Cap_Goal[[#This Row],[Wt_Adjusted_Surplus]])</f>
        <v>-10067740.709193133</v>
      </c>
      <c r="BJ11" s="11" t="b">
        <f ca="1">Sum_Of_Wt_Adj_Surplus[[#This Row],[Total]]&gt;0</f>
        <v>0</v>
      </c>
      <c r="BK11" s="2"/>
      <c r="BL11" s="2"/>
      <c r="BN11" s="2"/>
    </row>
    <row r="12" spans="5:70" ht="15" customHeight="1" x14ac:dyDescent="0.3">
      <c r="AL12" s="10" t="str">
        <v>Car</v>
      </c>
      <c r="AM12" s="11">
        <v>1</v>
      </c>
      <c r="AN12" s="10">
        <v>28</v>
      </c>
      <c r="AP12" s="11">
        <f>[1]Details!M18</f>
        <v>0</v>
      </c>
      <c r="AQ12" s="12" t="b">
        <f ca="1">IFERROR(IF(ISBLANK('Calc Engine'!$AL12),"No Goal",('Calc Engine'!$AP12*(1-$BF$2))&lt;=_xlfn.XLOOKUP('Calc Engine'!$AN12,Age,End_Of_Year_Value_Large_Cap)),"-")</f>
        <v>1</v>
      </c>
      <c r="AR12" s="11">
        <f>IF('Calc Engine'!$AP12&gt; 0,_xlfn.XLOOKUP(AN12,Age,End_Of_Year_Value_Large_Cap),0)</f>
        <v>0</v>
      </c>
      <c r="AS12" s="11">
        <f>'Calc Engine'!$AR12-'Calc Engine'!$AP12</f>
        <v>0</v>
      </c>
      <c r="AT12" s="11">
        <f>PRODUCT('Calc Engine'!$AS12,'Calc Engine'!$AM12)</f>
        <v>0</v>
      </c>
      <c r="AV12" s="11">
        <f>[1]Details!N18</f>
        <v>209000</v>
      </c>
      <c r="AW12" s="11" t="b">
        <f ca="1">IFERROR(IF(ISBLANK('Calc Engine'!$AL12),"No Goal",('Calc Engine'!$AV12*(1-$BF$2))&lt;=_xlfn.XLOOKUP('Calc Engine'!$AN12,Age,End_Of_Year_Value_Mid_Cap)),"-")</f>
        <v>0</v>
      </c>
      <c r="AX12" s="11">
        <f ca="1">IF(Mid_Cap_Goal[[#This Row],[Mid Cap]]&gt;0,_xlfn.XLOOKUP(AN12,Age,End_Of_Year_Value_Mid_Cap),0)</f>
        <v>107761.61600028443</v>
      </c>
      <c r="AY12" s="11">
        <f ca="1">'Calc Engine'!$AX12-'Calc Engine'!$AV12</f>
        <v>-101238.38399971557</v>
      </c>
      <c r="AZ12" s="11">
        <f ca="1">PRODUCT('Calc Engine'!$AY12,'Calc Engine'!$AM12)</f>
        <v>-101238.38399971557</v>
      </c>
      <c r="BB12" s="11">
        <f>[1]Details!O18</f>
        <v>0</v>
      </c>
      <c r="BC12" s="12" t="b">
        <f ca="1">IFERROR(IF(ISBLANK('Calc Engine'!$AL12),"No Goal",('Calc Engine'!$BB12 * (1 -$BF$2))&lt;=_xlfn.XLOOKUP('Calc Engine'!$AN12,Age,End_Of_Year_Value_Small_Cap)),"-")</f>
        <v>1</v>
      </c>
      <c r="BD12" s="11">
        <f>IF(Small_Cap_Goal[[#This Row],[Small Cap]],_xlfn.XLOOKUP(AN12,Age,End_Of_Year_Value_Small_Cap),0)</f>
        <v>0</v>
      </c>
      <c r="BE12" s="11">
        <f>'Calc Engine'!$BD12-'Calc Engine'!$BB12</f>
        <v>0</v>
      </c>
      <c r="BF12" s="11">
        <f>PRODUCT('Calc Engine'!$BE12,'Calc Engine'!$AM12)</f>
        <v>0</v>
      </c>
      <c r="BH12" s="11" t="str">
        <f t="shared" si="0"/>
        <v>Car</v>
      </c>
      <c r="BI12" s="14">
        <f ca="1">SUM(Small_Cap_Goal[[#This Row],[Wt_Adjusted_Surplus]],Mid_Cap_Goal[[#This Row],[Wt_Adjusted_Surplus]],Large_Cap_Goal[[#This Row],[Wt_Adjusted_Surplus]])</f>
        <v>-101238.38399971557</v>
      </c>
      <c r="BJ12" s="11" t="b">
        <f ca="1">Sum_Of_Wt_Adj_Surplus[[#This Row],[Total]]&gt;0</f>
        <v>0</v>
      </c>
      <c r="BK12" s="2"/>
      <c r="BL12" s="2"/>
      <c r="BN12" s="2"/>
    </row>
    <row r="13" spans="5:70" ht="15" customHeight="1" x14ac:dyDescent="0.3">
      <c r="AL13" s="10" t="str">
        <v>Abroad Vacation</v>
      </c>
      <c r="AM13" s="12">
        <v>1</v>
      </c>
      <c r="AN13" s="13">
        <v>38</v>
      </c>
      <c r="AP13" s="12">
        <f>[1]Details!M19</f>
        <v>0</v>
      </c>
      <c r="AQ13" s="12" t="b">
        <f ca="1">IFERROR(IF(ISBLANK('Calc Engine'!$AL13),"No Goal",('Calc Engine'!$AP13*(1-$BF$2))&lt;=_xlfn.XLOOKUP('Calc Engine'!$AN13,Age,End_Of_Year_Value_Large_Cap)),"-")</f>
        <v>0</v>
      </c>
      <c r="AR13" s="11">
        <f>IF('Calc Engine'!$AP13&gt; 0,_xlfn.XLOOKUP(AN13,Age,End_Of_Year_Value_Large_Cap),0)</f>
        <v>0</v>
      </c>
      <c r="AS13" s="12">
        <f>'Calc Engine'!$AR13-'Calc Engine'!$AP13</f>
        <v>0</v>
      </c>
      <c r="AT13" s="12">
        <f>PRODUCT('Calc Engine'!$AS13,'Calc Engine'!$AM13)</f>
        <v>0</v>
      </c>
      <c r="AV13" s="12">
        <f>[1]Details!N19</f>
        <v>0</v>
      </c>
      <c r="AW13" s="11" t="b">
        <f ca="1">IFERROR(IF(ISBLANK('Calc Engine'!$AL13),"No Goal",('Calc Engine'!$AV13*(1-$BF$2))&lt;=_xlfn.XLOOKUP('Calc Engine'!$AN13,Age,End_Of_Year_Value_Mid_Cap)),"-")</f>
        <v>0</v>
      </c>
      <c r="AX13" s="11">
        <f>IF(Mid_Cap_Goal[[#This Row],[Mid Cap]]&gt;0,_xlfn.XLOOKUP(AN13,Age,End_Of_Year_Value_Mid_Cap),0)</f>
        <v>0</v>
      </c>
      <c r="AY13" s="11">
        <f>'Calc Engine'!$AX13-'Calc Engine'!$AV13</f>
        <v>0</v>
      </c>
      <c r="AZ13" s="11">
        <f>PRODUCT('Calc Engine'!$AY13,'Calc Engine'!$AM13)</f>
        <v>0</v>
      </c>
      <c r="BB13" s="12">
        <f>[1]Details!O19</f>
        <v>5500000</v>
      </c>
      <c r="BC13" s="12" t="b">
        <f ca="1">IFERROR(IF(ISBLANK('Calc Engine'!$AL13),"No Goal",('Calc Engine'!$BB13 * (1 -$BF$2))&lt;=_xlfn.XLOOKUP('Calc Engine'!$AN13,Age,End_Of_Year_Value_Small_Cap)),"-")</f>
        <v>1</v>
      </c>
      <c r="BD13" s="11">
        <f ca="1">IF(Small_Cap_Goal[[#This Row],[Small Cap]],_xlfn.XLOOKUP(AN13,Age,End_Of_Year_Value_Small_Cap),0)</f>
        <v>8590097.8667316716</v>
      </c>
      <c r="BE13" s="11">
        <f ca="1">'Calc Engine'!$BD13-'Calc Engine'!$BB13</f>
        <v>3090097.8667316716</v>
      </c>
      <c r="BF13" s="11">
        <f ca="1">PRODUCT('Calc Engine'!$BE13,'Calc Engine'!$AM13)</f>
        <v>3090097.8667316716</v>
      </c>
      <c r="BH13" s="11" t="str">
        <f t="shared" si="0"/>
        <v>Abroad Vacation</v>
      </c>
      <c r="BI13" s="14">
        <f ca="1">SUM(Small_Cap_Goal[[#This Row],[Wt_Adjusted_Surplus]],Mid_Cap_Goal[[#This Row],[Wt_Adjusted_Surplus]],Large_Cap_Goal[[#This Row],[Wt_Adjusted_Surplus]])</f>
        <v>3090097.8667316716</v>
      </c>
      <c r="BJ13" s="11" t="b">
        <f ca="1">Sum_Of_Wt_Adj_Surplus[[#This Row],[Total]]&gt;0</f>
        <v>1</v>
      </c>
      <c r="BK13" s="2"/>
      <c r="BL13" s="2"/>
      <c r="BN13" s="2"/>
    </row>
    <row r="14" spans="5:70" ht="15" customHeight="1" x14ac:dyDescent="0.3">
      <c r="AL14" s="10">
        <v>0</v>
      </c>
      <c r="AM14" s="11">
        <v>1</v>
      </c>
      <c r="AN14" s="10">
        <v>0</v>
      </c>
      <c r="AP14" s="11">
        <f>[1]Details!M20</f>
        <v>0</v>
      </c>
      <c r="AQ14" s="12" t="str">
        <f>IFERROR(IF(ISBLANK('Calc Engine'!$AL14),"No Goal",('Calc Engine'!$AP14*(1-$BF$2))&lt;=_xlfn.XLOOKUP('Calc Engine'!$AN14,Age,End_Of_Year_Value_Large_Cap)),"-")</f>
        <v>-</v>
      </c>
      <c r="AR14" s="11">
        <f>IF('Calc Engine'!$AP14&gt; 0,_xlfn.XLOOKUP(AN14,Age,End_Of_Year_Value_Large_Cap),0)</f>
        <v>0</v>
      </c>
      <c r="AS14" s="11">
        <f>'Calc Engine'!$AR14-'Calc Engine'!$AP14</f>
        <v>0</v>
      </c>
      <c r="AT14" s="11">
        <f>PRODUCT('Calc Engine'!$AS14,'Calc Engine'!$AM14)</f>
        <v>0</v>
      </c>
      <c r="AV14" s="11">
        <f>[1]Details!N20</f>
        <v>0</v>
      </c>
      <c r="AW14" s="11" t="str">
        <f>IFERROR(IF(ISBLANK('Calc Engine'!$AL14),"No Goal",('Calc Engine'!$AV14*(1-$BF$2))&lt;=_xlfn.XLOOKUP('Calc Engine'!$AN14,Age,End_Of_Year_Value_Mid_Cap)),"-")</f>
        <v>-</v>
      </c>
      <c r="AX14" s="11">
        <f>IF(Mid_Cap_Goal[[#This Row],[Mid Cap]]&gt;0,_xlfn.XLOOKUP(AN14,Age,End_Of_Year_Value_Mid_Cap),0)</f>
        <v>0</v>
      </c>
      <c r="AY14" s="11">
        <f>'Calc Engine'!$AX14-'Calc Engine'!$AV14</f>
        <v>0</v>
      </c>
      <c r="AZ14" s="11">
        <f>PRODUCT('Calc Engine'!$AY14,'Calc Engine'!$AM14)</f>
        <v>0</v>
      </c>
      <c r="BB14" s="11">
        <f>[1]Details!O20</f>
        <v>0</v>
      </c>
      <c r="BC14" s="12" t="str">
        <f>IFERROR(IF(ISBLANK('Calc Engine'!$AL14),"No Goal",('Calc Engine'!$BB14 * (1 -$BF$2))&lt;=_xlfn.XLOOKUP('Calc Engine'!$AN14,Age,End_Of_Year_Value_Small_Cap)),"-")</f>
        <v>-</v>
      </c>
      <c r="BD14" s="11">
        <f>IF(Small_Cap_Goal[[#This Row],[Small Cap]],_xlfn.XLOOKUP(AN14,Age,End_Of_Year_Value_Small_Cap),0)</f>
        <v>0</v>
      </c>
      <c r="BE14" s="11">
        <f>'Calc Engine'!$BD14-'Calc Engine'!$BB14</f>
        <v>0</v>
      </c>
      <c r="BF14" s="11">
        <f>PRODUCT('Calc Engine'!$BE14,'Calc Engine'!$AM14)</f>
        <v>0</v>
      </c>
      <c r="BH14" s="11">
        <f t="shared" si="0"/>
        <v>0</v>
      </c>
      <c r="BI14" s="14">
        <f>SUM(Small_Cap_Goal[[#This Row],[Wt_Adjusted_Surplus]],Mid_Cap_Goal[[#This Row],[Wt_Adjusted_Surplus]],Large_Cap_Goal[[#This Row],[Wt_Adjusted_Surplus]])</f>
        <v>0</v>
      </c>
      <c r="BJ14" s="11" t="b">
        <f>Sum_Of_Wt_Adj_Surplus[[#This Row],[Total]]&gt;0</f>
        <v>0</v>
      </c>
      <c r="BK14" s="2"/>
      <c r="BL14" s="2"/>
      <c r="BN14" s="2"/>
    </row>
    <row r="15" spans="5:70" ht="15" customHeight="1" x14ac:dyDescent="0.3">
      <c r="AL15" s="10">
        <v>0</v>
      </c>
      <c r="AM15" s="12">
        <v>1</v>
      </c>
      <c r="AN15" s="13">
        <v>0</v>
      </c>
      <c r="AP15" s="12">
        <f>[1]Details!M21</f>
        <v>0</v>
      </c>
      <c r="AQ15" s="12" t="str">
        <f>IFERROR(IF(ISBLANK('Calc Engine'!$AL15),"No Goal",('Calc Engine'!$AP15*(1-$BF$2))&lt;=_xlfn.XLOOKUP('Calc Engine'!$AN15,Age,End_Of_Year_Value_Large_Cap)),"-")</f>
        <v>-</v>
      </c>
      <c r="AR15" s="11">
        <f>IF('Calc Engine'!$AP15&gt; 0,_xlfn.XLOOKUP(AN15,Age,End_Of_Year_Value_Large_Cap),0)</f>
        <v>0</v>
      </c>
      <c r="AS15" s="12">
        <f>'Calc Engine'!$AR15-'Calc Engine'!$AP15</f>
        <v>0</v>
      </c>
      <c r="AT15" s="12">
        <f>PRODUCT('Calc Engine'!$AS15,'Calc Engine'!$AM15)</f>
        <v>0</v>
      </c>
      <c r="AV15" s="12">
        <f>[1]Details!N21</f>
        <v>0</v>
      </c>
      <c r="AW15" s="11" t="str">
        <f>IFERROR(IF(ISBLANK('Calc Engine'!$AL15),"No Goal",('Calc Engine'!$AV15*(1-$BF$2))&lt;=_xlfn.XLOOKUP('Calc Engine'!$AN15,Age,End_Of_Year_Value_Mid_Cap)),"-")</f>
        <v>-</v>
      </c>
      <c r="AX15" s="11">
        <f>IF(Mid_Cap_Goal[[#This Row],[Mid Cap]]&gt;0,_xlfn.XLOOKUP(AN15,Age,End_Of_Year_Value_Mid_Cap),0)</f>
        <v>0</v>
      </c>
      <c r="AY15" s="11">
        <f>'Calc Engine'!$AX15-'Calc Engine'!$AV15</f>
        <v>0</v>
      </c>
      <c r="AZ15" s="11">
        <f>PRODUCT('Calc Engine'!$AY15,'Calc Engine'!$AM15)</f>
        <v>0</v>
      </c>
      <c r="BB15" s="12">
        <f>[1]Details!O21</f>
        <v>0</v>
      </c>
      <c r="BC15" s="12" t="str">
        <f>IFERROR(IF(ISBLANK('Calc Engine'!$AL15),"No Goal",('Calc Engine'!$BB15 * (1 -$BF$2))&lt;=_xlfn.XLOOKUP('Calc Engine'!$AN15,Age,End_Of_Year_Value_Small_Cap)),"-")</f>
        <v>-</v>
      </c>
      <c r="BD15" s="11">
        <f>IF(Small_Cap_Goal[[#This Row],[Small Cap]],_xlfn.XLOOKUP(AN15,Age,End_Of_Year_Value_Small_Cap),0)</f>
        <v>0</v>
      </c>
      <c r="BE15" s="11">
        <f>'Calc Engine'!$BD15-'Calc Engine'!$BB15</f>
        <v>0</v>
      </c>
      <c r="BF15" s="11">
        <f>PRODUCT('Calc Engine'!$BE15,'Calc Engine'!$AM15)</f>
        <v>0</v>
      </c>
      <c r="BH15" s="11">
        <f t="shared" si="0"/>
        <v>0</v>
      </c>
      <c r="BI15" s="14">
        <f>SUM(Small_Cap_Goal[[#This Row],[Wt_Adjusted_Surplus]],Mid_Cap_Goal[[#This Row],[Wt_Adjusted_Surplus]],Large_Cap_Goal[[#This Row],[Wt_Adjusted_Surplus]])</f>
        <v>0</v>
      </c>
      <c r="BJ15" s="11" t="b">
        <f>Sum_Of_Wt_Adj_Surplus[[#This Row],[Total]]&gt;0</f>
        <v>0</v>
      </c>
      <c r="BK15" s="2"/>
      <c r="BL15" s="2"/>
      <c r="BN15" s="2"/>
    </row>
    <row r="16" spans="5:70" ht="15" customHeight="1" x14ac:dyDescent="0.3">
      <c r="AL16" s="10">
        <v>0</v>
      </c>
      <c r="AM16" s="11">
        <v>1</v>
      </c>
      <c r="AN16" s="10">
        <v>0</v>
      </c>
      <c r="AP16" s="11">
        <f>[1]Details!M22</f>
        <v>0</v>
      </c>
      <c r="AQ16" s="12" t="str">
        <f>IFERROR(IF(ISBLANK('Calc Engine'!$AL16),"No Goal",('Calc Engine'!$AP16*(1-$BF$2))&lt;=_xlfn.XLOOKUP('Calc Engine'!$AN16,Age,End_Of_Year_Value_Large_Cap)),"-")</f>
        <v>-</v>
      </c>
      <c r="AR16" s="11">
        <f>IF('Calc Engine'!$AP16&gt; 0,_xlfn.XLOOKUP(AN16,Age,End_Of_Year_Value_Large_Cap),0)</f>
        <v>0</v>
      </c>
      <c r="AS16" s="11">
        <f>'Calc Engine'!$AR16-'Calc Engine'!$AP16</f>
        <v>0</v>
      </c>
      <c r="AT16" s="11">
        <f>PRODUCT('Calc Engine'!$AS16,'Calc Engine'!$AM16)</f>
        <v>0</v>
      </c>
      <c r="AV16" s="11">
        <f>[1]Details!N22</f>
        <v>0</v>
      </c>
      <c r="AW16" s="11" t="str">
        <f>IFERROR(IF(ISBLANK('Calc Engine'!$AL16),"No Goal",('Calc Engine'!$AV16*(1-$BF$2))&lt;=_xlfn.XLOOKUP('Calc Engine'!$AN16,Age,End_Of_Year_Value_Mid_Cap)),"-")</f>
        <v>-</v>
      </c>
      <c r="AX16" s="11">
        <f>IF(Mid_Cap_Goal[[#This Row],[Mid Cap]]&gt;0,_xlfn.XLOOKUP(AN16,Age,End_Of_Year_Value_Mid_Cap),0)</f>
        <v>0</v>
      </c>
      <c r="AY16" s="11">
        <f>'Calc Engine'!$AX16-'Calc Engine'!$AV16</f>
        <v>0</v>
      </c>
      <c r="AZ16" s="11">
        <f>PRODUCT('Calc Engine'!$AY16,'Calc Engine'!$AM16)</f>
        <v>0</v>
      </c>
      <c r="BB16" s="11">
        <f>[1]Details!O22</f>
        <v>0</v>
      </c>
      <c r="BC16" s="12" t="str">
        <f>IFERROR(IF(ISBLANK('Calc Engine'!$AL16),"No Goal",('Calc Engine'!$BB16 * (1 -$BF$2))&lt;=_xlfn.XLOOKUP('Calc Engine'!$AN16,Age,End_Of_Year_Value_Small_Cap)),"-")</f>
        <v>-</v>
      </c>
      <c r="BD16" s="11">
        <f>IF(Small_Cap_Goal[[#This Row],[Small Cap]],_xlfn.XLOOKUP(AN16,Age,End_Of_Year_Value_Small_Cap),0)</f>
        <v>0</v>
      </c>
      <c r="BE16" s="11">
        <f>'Calc Engine'!$BD16-'Calc Engine'!$BB16</f>
        <v>0</v>
      </c>
      <c r="BF16" s="11">
        <f>PRODUCT('Calc Engine'!$BE16,'Calc Engine'!$AM16)</f>
        <v>0</v>
      </c>
      <c r="BH16" s="11">
        <f t="shared" si="0"/>
        <v>0</v>
      </c>
      <c r="BI16" s="14">
        <f>SUM(Small_Cap_Goal[[#This Row],[Wt_Adjusted_Surplus]],Mid_Cap_Goal[[#This Row],[Wt_Adjusted_Surplus]],Large_Cap_Goal[[#This Row],[Wt_Adjusted_Surplus]])</f>
        <v>0</v>
      </c>
      <c r="BJ16" s="11" t="b">
        <f>Sum_Of_Wt_Adj_Surplus[[#This Row],[Total]]&gt;0</f>
        <v>0</v>
      </c>
      <c r="BK16" s="2"/>
      <c r="BL16" s="2"/>
      <c r="BN16" s="2"/>
    </row>
    <row r="17" spans="1:66" ht="15" customHeight="1" x14ac:dyDescent="0.3">
      <c r="AL17" s="10">
        <v>0</v>
      </c>
      <c r="AM17" s="12">
        <v>1</v>
      </c>
      <c r="AN17" s="13">
        <v>0</v>
      </c>
      <c r="AP17" s="12">
        <f>[1]Details!M23</f>
        <v>0</v>
      </c>
      <c r="AQ17" s="12" t="str">
        <f>IFERROR(IF(ISBLANK('Calc Engine'!$AL17),"No Goal",('Calc Engine'!$AP17*(1-$BF$2))&lt;=_xlfn.XLOOKUP('Calc Engine'!$AN17,Age,End_Of_Year_Value_Large_Cap)),"-")</f>
        <v>-</v>
      </c>
      <c r="AR17" s="11">
        <f>IF('Calc Engine'!$AP17&gt; 0,_xlfn.XLOOKUP(AN17,Age,End_Of_Year_Value_Large_Cap),0)</f>
        <v>0</v>
      </c>
      <c r="AS17" s="12">
        <f>'Calc Engine'!$AR17-'Calc Engine'!$AP17</f>
        <v>0</v>
      </c>
      <c r="AT17" s="12">
        <f>PRODUCT('Calc Engine'!$AS17,'Calc Engine'!$AM17)</f>
        <v>0</v>
      </c>
      <c r="AV17" s="12">
        <f>[1]Details!N23</f>
        <v>0</v>
      </c>
      <c r="AW17" s="11" t="str">
        <f>IFERROR(IF(ISBLANK('Calc Engine'!$AL17),"No Goal",('Calc Engine'!$AV17*(1-$BF$2))&lt;=_xlfn.XLOOKUP('Calc Engine'!$AN17,Age,End_Of_Year_Value_Mid_Cap)),"-")</f>
        <v>-</v>
      </c>
      <c r="AX17" s="11">
        <f>IF(Mid_Cap_Goal[[#This Row],[Mid Cap]]&gt;0,_xlfn.XLOOKUP(AN17,Age,End_Of_Year_Value_Mid_Cap),0)</f>
        <v>0</v>
      </c>
      <c r="AY17" s="11">
        <f>'Calc Engine'!$AX17-'Calc Engine'!$AV17</f>
        <v>0</v>
      </c>
      <c r="AZ17" s="11">
        <f>PRODUCT('Calc Engine'!$AY17,'Calc Engine'!$AM17)</f>
        <v>0</v>
      </c>
      <c r="BB17" s="12">
        <f>[1]Details!O23</f>
        <v>0</v>
      </c>
      <c r="BC17" s="12" t="str">
        <f>IFERROR(IF(ISBLANK('Calc Engine'!$AL17),"No Goal",('Calc Engine'!$BB17 * (1 -$BF$2))&lt;=_xlfn.XLOOKUP('Calc Engine'!$AN17,Age,End_Of_Year_Value_Small_Cap)),"-")</f>
        <v>-</v>
      </c>
      <c r="BD17" s="11">
        <f>IF(Small_Cap_Goal[[#This Row],[Small Cap]],_xlfn.XLOOKUP(AN17,Age,End_Of_Year_Value_Small_Cap),0)</f>
        <v>0</v>
      </c>
      <c r="BE17" s="11">
        <f>'Calc Engine'!$BD17-'Calc Engine'!$BB17</f>
        <v>0</v>
      </c>
      <c r="BF17" s="11">
        <f>PRODUCT('Calc Engine'!$BE17,'Calc Engine'!$AM17)</f>
        <v>0</v>
      </c>
      <c r="BH17" s="11">
        <f t="shared" si="0"/>
        <v>0</v>
      </c>
      <c r="BI17" s="14">
        <f>SUM(Small_Cap_Goal[[#This Row],[Wt_Adjusted_Surplus]],Mid_Cap_Goal[[#This Row],[Wt_Adjusted_Surplus]],Large_Cap_Goal[[#This Row],[Wt_Adjusted_Surplus]])</f>
        <v>0</v>
      </c>
      <c r="BJ17" s="11" t="b">
        <f>Sum_Of_Wt_Adj_Surplus[[#This Row],[Total]]&gt;0</f>
        <v>0</v>
      </c>
      <c r="BK17" s="2"/>
      <c r="BL17" s="2"/>
      <c r="BN17" s="2"/>
    </row>
    <row r="19" spans="1:66" ht="14.25" customHeight="1" x14ac:dyDescent="0.3">
      <c r="A19" s="15" t="s">
        <v>20</v>
      </c>
      <c r="B19" s="15"/>
      <c r="C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S19" s="15"/>
      <c r="AT19" s="15"/>
      <c r="AU19" s="15"/>
      <c r="AV19" s="15"/>
      <c r="AX19" s="15"/>
      <c r="AY19" s="15"/>
      <c r="AZ19" s="15"/>
      <c r="BA19" s="15"/>
      <c r="BC19" s="15"/>
      <c r="BF19" s="15"/>
    </row>
    <row r="20" spans="1:66" ht="34.5" customHeight="1" x14ac:dyDescent="0.3">
      <c r="A20" s="15"/>
      <c r="B20" s="15"/>
      <c r="C20" s="15"/>
      <c r="R20" s="15"/>
      <c r="S20" s="16"/>
      <c r="T20" s="15"/>
      <c r="U20" s="17"/>
      <c r="V20" s="15"/>
      <c r="W20" s="15"/>
      <c r="X20" s="15"/>
      <c r="Y20" s="15"/>
      <c r="Z20" s="15"/>
      <c r="AA20" s="18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 t="s">
        <v>21</v>
      </c>
      <c r="AM20" s="15"/>
      <c r="AN20" s="15"/>
      <c r="AO20" s="15"/>
      <c r="AP20" s="15"/>
      <c r="AQ20" s="15"/>
      <c r="AS20" s="15"/>
      <c r="AT20" s="15"/>
      <c r="AU20" s="15"/>
      <c r="AV20" s="15"/>
      <c r="AX20" s="15"/>
      <c r="AY20" s="15"/>
      <c r="AZ20" s="15"/>
      <c r="BA20" s="15"/>
      <c r="BC20" s="15"/>
      <c r="BF20" s="15"/>
      <c r="BG20" s="15"/>
    </row>
    <row r="21" spans="1:66" ht="14.25" customHeight="1" x14ac:dyDescent="0.3">
      <c r="A21" s="15"/>
      <c r="B21" s="15"/>
      <c r="C21" s="15"/>
      <c r="R21" s="15"/>
      <c r="S21" s="19"/>
      <c r="T21" s="15"/>
      <c r="U21" s="15"/>
      <c r="V21" s="18"/>
      <c r="W21" s="15"/>
      <c r="X21" s="15"/>
      <c r="Y21" s="15"/>
      <c r="Z21" s="15"/>
      <c r="AA21" s="20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 t="str">
        <f t="array" ref="AL21:AL25">TRANSPOSE('Assumptions Sheet'!AA13:AE13)</f>
        <v>Large Cap</v>
      </c>
      <c r="AM21" s="18">
        <f>'Optimizer Engine'!F1</f>
        <v>0.1</v>
      </c>
      <c r="AN21" s="15" t="str">
        <f>IF(SUM(AM21:AM25)=1, "CORRECT  VALUES","INCORRECT  VALUES")</f>
        <v>CORRECT  VALUES</v>
      </c>
      <c r="AO21" s="15"/>
      <c r="AP21" s="15"/>
      <c r="AQ21" s="15"/>
      <c r="AS21" s="15"/>
      <c r="AT21" s="15"/>
      <c r="AU21" s="15"/>
      <c r="AV21" s="15"/>
      <c r="AX21" s="15"/>
      <c r="AY21" s="15"/>
      <c r="AZ21" s="15"/>
      <c r="BA21" s="15"/>
      <c r="BC21" s="15"/>
      <c r="BF21" s="15"/>
      <c r="BG21" s="15"/>
    </row>
    <row r="22" spans="1:66" ht="14.25" customHeight="1" x14ac:dyDescent="0.3">
      <c r="A22" s="15"/>
      <c r="B22" s="15"/>
      <c r="C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Q22" s="15"/>
      <c r="R22" s="15"/>
      <c r="S22" s="20"/>
      <c r="T22" s="15"/>
      <c r="U22" s="15"/>
      <c r="V22" s="20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2" t="str">
        <v>Mid Cap</v>
      </c>
      <c r="AM22" s="18">
        <f>'Optimizer Engine'!F2</f>
        <v>0.1</v>
      </c>
      <c r="AN22" s="15"/>
      <c r="AO22" s="15"/>
      <c r="AP22" s="15"/>
      <c r="AQ22" s="15"/>
      <c r="AS22" s="15"/>
      <c r="AT22" s="15"/>
      <c r="AU22" s="15"/>
      <c r="AV22" s="15"/>
      <c r="AX22" s="15"/>
      <c r="AY22" s="15"/>
      <c r="AZ22" s="15"/>
      <c r="BA22" s="15"/>
      <c r="BC22" s="15"/>
      <c r="BF22" s="15"/>
      <c r="BG22" s="15"/>
    </row>
    <row r="23" spans="1:66" ht="14.25" customHeight="1" x14ac:dyDescent="0.3">
      <c r="A23" s="15"/>
      <c r="B23" s="15"/>
      <c r="C23" s="21"/>
      <c r="E23" s="22"/>
      <c r="F23" s="22"/>
      <c r="G23" s="22"/>
      <c r="H23" s="22"/>
      <c r="I23" s="22"/>
      <c r="J23" s="22"/>
      <c r="K23" s="22"/>
      <c r="L23" s="22"/>
      <c r="M23" s="22"/>
      <c r="N23" s="22"/>
      <c r="Q23" s="15"/>
      <c r="R23" s="15"/>
      <c r="S23" s="20"/>
      <c r="T23" s="15"/>
      <c r="U23" s="15"/>
      <c r="V23" s="20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 t="str">
        <v>Small Cap</v>
      </c>
      <c r="AM23" s="18">
        <f>1-SUM(AM21:AM22)</f>
        <v>0.8</v>
      </c>
      <c r="AN23" s="15"/>
      <c r="AO23" s="15"/>
      <c r="AP23" s="15"/>
      <c r="AQ23" s="15"/>
      <c r="AS23" s="15"/>
      <c r="AT23" s="15"/>
      <c r="AU23" s="15"/>
      <c r="AV23" s="15"/>
      <c r="AX23" s="15"/>
      <c r="AY23" s="15"/>
      <c r="AZ23" s="15"/>
      <c r="BA23" s="15"/>
      <c r="BC23" s="15"/>
      <c r="BF23" s="15"/>
      <c r="BG23" s="15"/>
    </row>
    <row r="24" spans="1:66" ht="14.25" customHeight="1" x14ac:dyDescent="0.3">
      <c r="A24" s="15"/>
      <c r="B24" s="15"/>
      <c r="C24" s="21"/>
      <c r="E24" s="22"/>
      <c r="F24" s="22"/>
      <c r="G24" s="22"/>
      <c r="H24" s="22"/>
      <c r="I24" s="22"/>
      <c r="J24" s="22"/>
      <c r="K24" s="22"/>
      <c r="L24" s="22"/>
      <c r="M24" s="22"/>
      <c r="N24" s="22"/>
      <c r="Q24" s="15"/>
      <c r="R24" s="15"/>
      <c r="S24" s="20"/>
      <c r="T24" s="15"/>
      <c r="U24" s="15"/>
      <c r="V24" s="20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 t="str">
        <v>FD</v>
      </c>
      <c r="AM24" s="18"/>
      <c r="AN24" s="15"/>
      <c r="AO24" s="15"/>
      <c r="AP24" s="15"/>
      <c r="AQ24" s="15"/>
      <c r="AS24" s="15"/>
      <c r="AT24" s="15"/>
      <c r="AU24" s="15"/>
      <c r="AV24" s="15"/>
      <c r="AX24" s="15"/>
      <c r="AY24" s="15"/>
      <c r="AZ24" s="15"/>
      <c r="BA24" s="15"/>
      <c r="BC24" s="15"/>
      <c r="BF24" s="15"/>
      <c r="BG24" s="15"/>
    </row>
    <row r="25" spans="1:66" ht="18" customHeight="1" x14ac:dyDescent="0.3">
      <c r="A25" s="15"/>
      <c r="B25" s="15"/>
      <c r="C25" s="21"/>
      <c r="E25" s="22"/>
      <c r="F25" s="22"/>
      <c r="G25" s="22"/>
      <c r="H25" s="22"/>
      <c r="I25" s="22"/>
      <c r="J25" s="22"/>
      <c r="K25" s="22"/>
      <c r="L25" s="22"/>
      <c r="M25" s="22"/>
      <c r="N25" s="22"/>
      <c r="Q25" s="15"/>
      <c r="R25" s="15"/>
      <c r="S25" s="15"/>
      <c r="T25" s="15"/>
      <c r="U25" s="15"/>
      <c r="V25" s="18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 t="s">
        <v>22</v>
      </c>
      <c r="AH25" s="20">
        <f>[1]Details!H11</f>
        <v>0.1</v>
      </c>
      <c r="AI25" s="15"/>
      <c r="AJ25" s="15"/>
      <c r="AK25" s="15"/>
      <c r="AL25" s="15" t="str">
        <v>Savings Account</v>
      </c>
      <c r="AM25" s="18"/>
      <c r="AN25" s="15"/>
      <c r="AO25" s="15"/>
      <c r="AP25" s="15"/>
      <c r="AQ25" s="15"/>
      <c r="AS25" s="15"/>
      <c r="AT25" s="15"/>
      <c r="AU25" s="15"/>
      <c r="AV25" s="15"/>
      <c r="AX25" s="15"/>
      <c r="AY25" s="15"/>
      <c r="AZ25" s="15"/>
      <c r="BA25" s="15"/>
      <c r="BC25" s="15"/>
      <c r="BF25" s="15"/>
      <c r="BG25" s="15"/>
    </row>
    <row r="26" spans="1:66" ht="14.25" customHeight="1" x14ac:dyDescent="0.3">
      <c r="A26" s="15"/>
      <c r="B26" s="15"/>
      <c r="C26" s="21"/>
      <c r="E26" s="15"/>
      <c r="F26" s="15"/>
      <c r="G26" s="15"/>
      <c r="H26" s="15"/>
      <c r="I26" s="15"/>
      <c r="J26" s="15"/>
      <c r="K26" s="15"/>
      <c r="L26" s="15"/>
      <c r="M26" s="15"/>
      <c r="N26" s="15"/>
      <c r="Q26" s="15"/>
      <c r="R26" s="15"/>
      <c r="S26" s="15"/>
      <c r="T26" s="15"/>
      <c r="U26" s="15"/>
      <c r="V26" s="20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N26" s="15"/>
      <c r="AO26" s="15"/>
      <c r="AP26" s="15"/>
      <c r="AQ26" s="15"/>
      <c r="AS26" s="15"/>
      <c r="AT26" s="15"/>
      <c r="AU26" s="15"/>
      <c r="AV26" s="15"/>
      <c r="AX26" s="15"/>
      <c r="AY26" s="15"/>
      <c r="AZ26" s="15"/>
      <c r="BA26" s="15"/>
      <c r="BC26" s="15"/>
      <c r="BF26" s="15"/>
      <c r="BG26" s="15"/>
    </row>
    <row r="27" spans="1:66" ht="14.25" customHeight="1" x14ac:dyDescent="0.3">
      <c r="A27" s="15"/>
      <c r="B27" s="15"/>
      <c r="C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T27" s="15"/>
      <c r="AU27" s="15"/>
      <c r="AV27" s="15"/>
      <c r="BA27" s="15"/>
      <c r="BC27" s="15"/>
      <c r="BF27" s="15"/>
      <c r="BG27" s="15"/>
    </row>
    <row r="28" spans="1:66" ht="14.25" customHeight="1" x14ac:dyDescent="0.3">
      <c r="A28" s="15"/>
      <c r="B28" s="15"/>
      <c r="C28" s="23" t="s">
        <v>23</v>
      </c>
      <c r="E28" s="23" t="str">
        <f t="array" ref="E28:I28">TRANSPOSE([1]Details!$B$14:$B$18)</f>
        <v>Salary</v>
      </c>
      <c r="F28" s="23" t="str">
        <v>Rent</v>
      </c>
      <c r="G28" s="23" t="str">
        <v>Interest</v>
      </c>
      <c r="H28" s="23" t="str">
        <v>Business Income</v>
      </c>
      <c r="I28" s="23" t="str">
        <v>Other Income</v>
      </c>
      <c r="J28" s="23"/>
      <c r="K28" s="23"/>
      <c r="L28" s="23"/>
      <c r="M28" s="23"/>
      <c r="N28" s="23" t="s">
        <v>19</v>
      </c>
      <c r="P28" s="24"/>
      <c r="Q28" s="23" t="str">
        <f t="array" ref="Q28:Y28">TRANSPOSE([1]Details!$F$14:$F$22)</f>
        <v>EMI</v>
      </c>
      <c r="R28" s="23" t="str">
        <v>Entertainment</v>
      </c>
      <c r="S28" s="25" t="str">
        <v>Food</v>
      </c>
      <c r="T28" s="23" t="str">
        <v>Recreation</v>
      </c>
      <c r="U28" s="23" t="str">
        <v>Medical expenses</v>
      </c>
      <c r="V28" s="23" t="str">
        <v>Luxury</v>
      </c>
      <c r="W28" s="23" t="str">
        <v>Transportation</v>
      </c>
      <c r="X28" s="23" t="str">
        <v>Household Expenses</v>
      </c>
      <c r="Y28" s="23" t="str">
        <v>Insurance</v>
      </c>
      <c r="Z28" s="23" t="s">
        <v>24</v>
      </c>
      <c r="AA28" s="26" t="s">
        <v>25</v>
      </c>
      <c r="AB28" s="15"/>
      <c r="AC28" s="23" t="s">
        <v>26</v>
      </c>
      <c r="AD28" s="23" t="s">
        <v>25</v>
      </c>
      <c r="AE28" s="23" t="s">
        <v>27</v>
      </c>
      <c r="AF28" s="27" t="s">
        <v>28</v>
      </c>
      <c r="AG28" s="23" t="s">
        <v>29</v>
      </c>
      <c r="AH28" s="27" t="s">
        <v>30</v>
      </c>
      <c r="AI28" s="15"/>
      <c r="AJ28" s="28" t="s">
        <v>23</v>
      </c>
      <c r="AK28" s="23" t="s">
        <v>31</v>
      </c>
      <c r="AL28" s="29" t="s">
        <v>32</v>
      </c>
      <c r="AN28" s="78" t="s">
        <v>10</v>
      </c>
      <c r="AO28" s="79"/>
      <c r="AP28" s="79"/>
      <c r="AQ28" s="79"/>
      <c r="AS28" s="80" t="s">
        <v>15</v>
      </c>
      <c r="AT28" s="79"/>
      <c r="AU28" s="79"/>
      <c r="AV28" s="79"/>
      <c r="AX28" s="80" t="s">
        <v>16</v>
      </c>
      <c r="AY28" s="79"/>
      <c r="AZ28" s="79"/>
      <c r="BA28" s="79"/>
      <c r="BC28" s="30"/>
      <c r="BF28" s="77" t="s">
        <v>33</v>
      </c>
      <c r="BG28" s="75"/>
      <c r="BH28" s="75"/>
      <c r="BI28" s="75"/>
      <c r="BK28" s="77" t="s">
        <v>34</v>
      </c>
      <c r="BL28" s="75"/>
      <c r="BM28" s="75"/>
      <c r="BN28" s="75"/>
    </row>
    <row r="29" spans="1:66" ht="14.25" customHeight="1" x14ac:dyDescent="0.3">
      <c r="A29" s="15"/>
      <c r="B29" s="15"/>
      <c r="C29" s="23"/>
      <c r="E29" s="23">
        <f t="array" ref="E29:I29">TRANSPOSE([1]Details!$C$14:$C$18)</f>
        <v>720000</v>
      </c>
      <c r="F29" s="23">
        <v>0</v>
      </c>
      <c r="G29" s="23">
        <v>6000</v>
      </c>
      <c r="H29" s="23">
        <v>0</v>
      </c>
      <c r="I29" s="23" t="str">
        <v>-</v>
      </c>
      <c r="J29" s="23"/>
      <c r="K29" s="23"/>
      <c r="L29" s="23"/>
      <c r="M29" s="23"/>
      <c r="N29" s="23">
        <f t="shared" ref="N29:N34" si="1">SUM(E29:M29)</f>
        <v>726000</v>
      </c>
      <c r="P29" s="24"/>
      <c r="Q29" s="23">
        <f t="array" ref="Q29:Y29">TRANSPOSE([1]Details!$G$14:$G$22)</f>
        <v>0</v>
      </c>
      <c r="R29" s="23">
        <v>18000</v>
      </c>
      <c r="S29" s="25">
        <v>36000</v>
      </c>
      <c r="T29" s="23">
        <v>12000</v>
      </c>
      <c r="U29" s="23">
        <v>6000</v>
      </c>
      <c r="V29" s="23">
        <v>24000</v>
      </c>
      <c r="W29" s="23">
        <v>18000</v>
      </c>
      <c r="X29" s="23">
        <v>84000</v>
      </c>
      <c r="Y29" s="23">
        <v>12000</v>
      </c>
      <c r="Z29" s="23">
        <f ca="1">'Assumptions Sheet'!V21</f>
        <v>30000</v>
      </c>
      <c r="AA29" s="26">
        <f ca="1">SUM(Q29:Z29)</f>
        <v>240000</v>
      </c>
      <c r="AB29" s="15"/>
      <c r="AC29" s="23">
        <f>N29</f>
        <v>726000</v>
      </c>
      <c r="AD29" s="23">
        <f ca="1">AA29</f>
        <v>240000</v>
      </c>
      <c r="AE29" s="23">
        <f ca="1">AC29-AD29</f>
        <v>486000</v>
      </c>
      <c r="AF29" s="23"/>
      <c r="AG29" s="23">
        <f>[1]Details!G10</f>
        <v>40000</v>
      </c>
      <c r="AH29" s="23">
        <f ca="1">MAX(AE29-AG29,AE29)</f>
        <v>486000</v>
      </c>
      <c r="AI29" s="15"/>
      <c r="AJ29" s="28"/>
      <c r="AK29" s="23"/>
      <c r="AL29" s="29"/>
      <c r="AN29" s="23"/>
      <c r="AO29" s="23"/>
      <c r="AP29" s="23"/>
      <c r="AQ29" s="23"/>
      <c r="AS29" s="23"/>
      <c r="AT29" s="23"/>
      <c r="AU29" s="23"/>
      <c r="AV29" s="23"/>
      <c r="AX29" s="23"/>
      <c r="AY29" s="23"/>
      <c r="AZ29" s="23"/>
      <c r="BA29" s="23"/>
      <c r="BC29" s="23"/>
      <c r="BF29" s="31"/>
      <c r="BG29" s="31"/>
      <c r="BH29" s="31">
        <f>[1]Details!V20</f>
        <v>80000</v>
      </c>
      <c r="BI29" s="31"/>
      <c r="BK29" s="32"/>
      <c r="BL29" s="32"/>
      <c r="BM29" s="32"/>
      <c r="BN29" s="32"/>
    </row>
    <row r="30" spans="1:66" ht="14.25" customHeight="1" x14ac:dyDescent="0.3">
      <c r="A30" s="15"/>
      <c r="B30" s="15"/>
      <c r="C30" s="33" t="s">
        <v>23</v>
      </c>
      <c r="D30" s="34"/>
      <c r="E30" s="35"/>
      <c r="F30" s="35"/>
      <c r="G30" s="35"/>
      <c r="H30" s="35"/>
      <c r="I30" s="35"/>
      <c r="J30" s="36"/>
      <c r="K30" s="36"/>
      <c r="L30" s="36"/>
      <c r="M30" s="36"/>
      <c r="N30" s="36">
        <f t="shared" si="1"/>
        <v>0</v>
      </c>
      <c r="P30" s="24"/>
      <c r="Q30" s="23"/>
      <c r="R30" s="23"/>
      <c r="S30" s="25"/>
      <c r="T30" s="23"/>
      <c r="U30" s="23"/>
      <c r="V30" s="23"/>
      <c r="W30" s="23"/>
      <c r="X30" s="23"/>
      <c r="Y30" s="23"/>
      <c r="Z30" s="23"/>
      <c r="AA30" s="26"/>
      <c r="AB30" s="15"/>
      <c r="AC30" s="23"/>
      <c r="AD30" s="23"/>
      <c r="AE30" s="23"/>
      <c r="AF30" s="23"/>
      <c r="AG30" s="23"/>
      <c r="AH30" s="23"/>
      <c r="AI30" s="15"/>
      <c r="AJ30" s="28"/>
      <c r="AK30" s="23" t="s">
        <v>31</v>
      </c>
      <c r="AL30" s="29" t="s">
        <v>32</v>
      </c>
      <c r="AN30" s="30" t="s">
        <v>35</v>
      </c>
      <c r="AO30" s="37" t="s">
        <v>36</v>
      </c>
      <c r="AP30" s="30" t="s">
        <v>37</v>
      </c>
      <c r="AQ30" s="30" t="s">
        <v>38</v>
      </c>
      <c r="AS30" s="30" t="s">
        <v>35</v>
      </c>
      <c r="AT30" s="37" t="s">
        <v>36</v>
      </c>
      <c r="AU30" s="30" t="s">
        <v>39</v>
      </c>
      <c r="AV30" s="30" t="s">
        <v>38</v>
      </c>
      <c r="AX30" s="30" t="s">
        <v>35</v>
      </c>
      <c r="AY30" s="37" t="s">
        <v>36</v>
      </c>
      <c r="AZ30" s="30" t="s">
        <v>39</v>
      </c>
      <c r="BA30" s="30" t="s">
        <v>38</v>
      </c>
      <c r="BC30" s="27" t="s">
        <v>40</v>
      </c>
      <c r="BD30" s="27" t="s">
        <v>41</v>
      </c>
      <c r="BF30" s="23" t="s">
        <v>35</v>
      </c>
      <c r="BG30" s="23" t="s">
        <v>39</v>
      </c>
      <c r="BH30" s="23" t="s">
        <v>38</v>
      </c>
      <c r="BI30" s="23" t="s">
        <v>42</v>
      </c>
      <c r="BK30" s="23" t="s">
        <v>35</v>
      </c>
      <c r="BL30" s="23" t="s">
        <v>43</v>
      </c>
      <c r="BM30" s="23" t="s">
        <v>39</v>
      </c>
      <c r="BN30" s="23" t="s">
        <v>38</v>
      </c>
    </row>
    <row r="31" spans="1:66" ht="13.5" customHeight="1" x14ac:dyDescent="0.3">
      <c r="A31" s="15"/>
      <c r="B31" s="15" cm="1">
        <f t="array" ref="B31:B65">_xlfn.SEQUENCE([1]Details!C4-[1]Details!C3,1,[1]Details!C3,1)</f>
        <v>20</v>
      </c>
      <c r="C31" s="38">
        <f>B31</f>
        <v>20</v>
      </c>
      <c r="E31" s="39">
        <f t="shared" ref="E31:I31" si="2">E29</f>
        <v>720000</v>
      </c>
      <c r="F31" s="39">
        <f t="shared" si="2"/>
        <v>0</v>
      </c>
      <c r="G31" s="39">
        <f t="shared" si="2"/>
        <v>6000</v>
      </c>
      <c r="H31" s="39">
        <f t="shared" si="2"/>
        <v>0</v>
      </c>
      <c r="I31" s="39" t="str">
        <f t="shared" si="2"/>
        <v>-</v>
      </c>
      <c r="J31" s="39"/>
      <c r="K31" s="39"/>
      <c r="L31" s="39"/>
      <c r="M31" s="39"/>
      <c r="N31" s="39">
        <f t="shared" si="1"/>
        <v>726000</v>
      </c>
      <c r="O31" s="40"/>
      <c r="P31" s="39"/>
      <c r="Q31" s="39">
        <f t="shared" ref="Q31:Q66" si="3">$Q$29</f>
        <v>0</v>
      </c>
      <c r="R31" s="39">
        <f t="shared" ref="R31:Y31" si="4">R29</f>
        <v>18000</v>
      </c>
      <c r="S31" s="39">
        <f t="shared" si="4"/>
        <v>36000</v>
      </c>
      <c r="T31" s="39">
        <f t="shared" si="4"/>
        <v>12000</v>
      </c>
      <c r="U31" s="39">
        <f t="shared" si="4"/>
        <v>6000</v>
      </c>
      <c r="V31" s="39">
        <f t="shared" si="4"/>
        <v>24000</v>
      </c>
      <c r="W31" s="39">
        <f t="shared" si="4"/>
        <v>18000</v>
      </c>
      <c r="X31" s="39">
        <f t="shared" si="4"/>
        <v>84000</v>
      </c>
      <c r="Y31" s="39">
        <f t="shared" si="4"/>
        <v>12000</v>
      </c>
      <c r="Z31" s="39">
        <f ca="1">'Assumptions Sheet'!V21</f>
        <v>30000</v>
      </c>
      <c r="AA31" s="41">
        <f t="shared" ref="AA31:AA66" ca="1" si="5">SUM(Q31:Z31)</f>
        <v>240000</v>
      </c>
      <c r="AB31" s="40"/>
      <c r="AC31" s="39">
        <f t="shared" ref="AC31" si="6">N31</f>
        <v>726000</v>
      </c>
      <c r="AD31" s="39">
        <f t="shared" ref="AD31:AD66" ca="1" si="7">AA31</f>
        <v>240000</v>
      </c>
      <c r="AE31" s="39">
        <f t="shared" ref="AE31:AE66" ca="1" si="8">AC31-AD31</f>
        <v>486000</v>
      </c>
      <c r="AF31" s="39"/>
      <c r="AG31" s="39" cm="1">
        <f t="array" aca="1" ref="AG31" ca="1">_xlfn.IFS(AE31&lt;AG29,0,AE31&gt;AG29,AG29)</f>
        <v>40000</v>
      </c>
      <c r="AH31" s="39">
        <f ca="1">AE31-AG31</f>
        <v>446000</v>
      </c>
      <c r="AI31" s="40"/>
      <c r="AJ31" s="38">
        <f>'Calc Engine'!$C31</f>
        <v>20</v>
      </c>
      <c r="AK31" s="39">
        <f t="shared" ref="AK31:AK66" ca="1" si="9">AG31</f>
        <v>40000</v>
      </c>
      <c r="AL31" s="39">
        <f ca="1">SUM(AK31)</f>
        <v>40000</v>
      </c>
      <c r="AM31" s="40"/>
      <c r="AN31" s="39">
        <f ca="1">AL31*$AM$21</f>
        <v>4000</v>
      </c>
      <c r="AO31" s="39">
        <f ca="1">(AN31*(1+'Assumptions Sheet'!AA21))</f>
        <v>4360</v>
      </c>
      <c r="AP31" s="39">
        <f>_xlfn.XLOOKUP(AJ31,[1]Details!$L$14:$L$23,[1]Details!$M$14:$M$23,0,0,1)</f>
        <v>0</v>
      </c>
      <c r="AQ31" s="39">
        <f t="shared" ref="AQ31" ca="1" si="10">AO31-AP31</f>
        <v>4360</v>
      </c>
      <c r="AR31" s="40"/>
      <c r="AS31" s="39">
        <f ca="1">AL31*$AM$22</f>
        <v>4000</v>
      </c>
      <c r="AT31" s="39">
        <f ca="1">AS31*(1+'Assumptions Sheet'!AB21)</f>
        <v>4480</v>
      </c>
      <c r="AU31" s="39">
        <f>_xlfn.XLOOKUP(AJ31,[1]Details!$L$14:$L$23,[1]Details!$N$14:$N$23,0,0,1)</f>
        <v>0</v>
      </c>
      <c r="AV31" s="39">
        <f t="shared" ref="AV31:AV66" ca="1" si="11">AT31-AU31</f>
        <v>4480</v>
      </c>
      <c r="AW31" s="40"/>
      <c r="AX31" s="39">
        <f t="shared" ref="AX31:AX66" ca="1" si="12">AK31*$AM$23</f>
        <v>32000</v>
      </c>
      <c r="AY31" s="39">
        <f ca="1">AX31*(1+'Assumptions Sheet'!AC21)</f>
        <v>36480.000000000007</v>
      </c>
      <c r="AZ31" s="39">
        <f>_xlfn.XLOOKUP(AJ31,[1]Details!$L$14:$L$23,[1]Details!$O$14:$O$23,0,0,1)</f>
        <v>0</v>
      </c>
      <c r="BA31" s="39">
        <f t="shared" ref="BA31" ca="1" si="13">AY31-AZ31</f>
        <v>36480.000000000007</v>
      </c>
      <c r="BB31" s="40"/>
      <c r="BC31" s="39">
        <f t="shared" ref="BC31:BC66" ca="1" si="14">SUM(AX31,AS31,AN31)</f>
        <v>40000</v>
      </c>
      <c r="BD31" s="39">
        <f ca="1">BC31</f>
        <v>40000</v>
      </c>
      <c r="BF31" s="39">
        <f t="shared" ref="BF31:BF66" ca="1" si="15">IF(AH31&gt;0,AH31,0)</f>
        <v>446000</v>
      </c>
      <c r="BG31" s="39">
        <f t="shared" ref="BG31:BG66" ca="1" si="16">IF(AH31&lt;0,AH31,0)</f>
        <v>0</v>
      </c>
      <c r="BH31" s="39">
        <f ca="1">(BF31*(1+'Assumptions Sheet'!AE21))+BG31+Opening_Savings</f>
        <v>539380</v>
      </c>
      <c r="BI31" s="39">
        <f ca="1">(IF(BH31&gt;SUM([1]Details!$V$18,[1]Details!$V$19),[1]Details!$V$19,0))</f>
        <v>300000</v>
      </c>
      <c r="BJ31" s="40"/>
      <c r="BK31" s="39">
        <f ca="1">(IF(BH31&gt;SUM([1]Details!V18+[1]Details!V19),[1]Details!V19,0))</f>
        <v>300000</v>
      </c>
      <c r="BL31" s="39">
        <f ca="1">BK31*(1+'Assumptions Sheet'!AD21)</f>
        <v>315000</v>
      </c>
      <c r="BM31" s="39"/>
      <c r="BN31" s="39">
        <f ca="1">BL31-BM31</f>
        <v>315000</v>
      </c>
    </row>
    <row r="32" spans="1:66" ht="14.25" customHeight="1" outlineLevel="1" x14ac:dyDescent="0.3">
      <c r="A32" s="15"/>
      <c r="B32" s="15">
        <v>21</v>
      </c>
      <c r="C32" s="42">
        <f t="shared" ref="C32:C66" si="17">C31+1</f>
        <v>21</v>
      </c>
      <c r="E32" s="43">
        <f ca="1">E31*(1+'Assumptions Sheet'!E21)</f>
        <v>748800</v>
      </c>
      <c r="F32" s="43">
        <f ca="1">F31*(1+'Assumptions Sheet'!F21)</f>
        <v>0</v>
      </c>
      <c r="G32" s="43">
        <f ca="1">G31*(1+'Assumptions Sheet'!G21)</f>
        <v>6300</v>
      </c>
      <c r="H32" s="43">
        <f ca="1">H31*(1+'Assumptions Sheet'!H21)</f>
        <v>0</v>
      </c>
      <c r="I32" s="43"/>
      <c r="J32" s="43"/>
      <c r="K32" s="43"/>
      <c r="L32" s="43"/>
      <c r="M32" s="43"/>
      <c r="N32" s="43">
        <f t="shared" ca="1" si="1"/>
        <v>755100</v>
      </c>
      <c r="O32" s="40"/>
      <c r="P32" s="43"/>
      <c r="Q32" s="43">
        <f t="shared" si="3"/>
        <v>0</v>
      </c>
      <c r="R32" s="43">
        <f ca="1">R31*(1+'Assumptions Sheet'!Q21)</f>
        <v>19800</v>
      </c>
      <c r="S32" s="43">
        <f ca="1">S31*(1+'Assumptions Sheet'!P21)</f>
        <v>38520</v>
      </c>
      <c r="T32" s="43">
        <f ca="1">T31*('Assumptions Sheet'!Q21+1)</f>
        <v>13200.000000000002</v>
      </c>
      <c r="U32" s="43">
        <f ca="1">U31*('Assumptions Sheet'!S21+1)</f>
        <v>6240</v>
      </c>
      <c r="V32" s="43">
        <f ca="1">V31*(1+'Assumptions Sheet'!Q21)</f>
        <v>26400.000000000004</v>
      </c>
      <c r="W32" s="43">
        <f ca="1">W31*(1+'Assumptions Sheet'!R21)</f>
        <v>19080</v>
      </c>
      <c r="X32" s="43">
        <f ca="1">X31*(1+'Assumptions Sheet'!O21)</f>
        <v>90720</v>
      </c>
      <c r="Y32" s="43">
        <f t="shared" ref="Y32:Y66" si="18">Y31</f>
        <v>12000</v>
      </c>
      <c r="Z32" s="43">
        <f ca="1">'Assumptions Sheet'!V22</f>
        <v>10000</v>
      </c>
      <c r="AA32" s="41">
        <f t="shared" ca="1" si="5"/>
        <v>235960</v>
      </c>
      <c r="AB32" s="40"/>
      <c r="AC32" s="43">
        <f ca="1">N32</f>
        <v>755100</v>
      </c>
      <c r="AD32" s="43">
        <f t="shared" ca="1" si="7"/>
        <v>235960</v>
      </c>
      <c r="AE32" s="39">
        <f t="shared" ca="1" si="8"/>
        <v>519140</v>
      </c>
      <c r="AF32" s="43" t="str" cm="1">
        <f t="array" aca="1" ref="AF32" ca="1">_xlfn.IFS(AE32&lt;0,"Withdrawal From Savings A/C",AND(AE32&gt;0,BH31&lt;[1]Details!$V$18),"Transfer to Emergency Fund",AE32&gt;$AG$29,"Investment Possible",AND(AE32&gt;0,BH31&gt;[1]Details!$V$18),"Investment Possible With Bal")</f>
        <v>Investment Possible</v>
      </c>
      <c r="AG32" s="43" cm="1">
        <f t="array" aca="1" ref="AG32" ca="1">_xlfn.IFS(OR(AF32="Withdrawal From Savings A/C",AF32="Transfer to Emergency Fund"),0,AF32= "Investment Possible With Bal",AE32,AF32= "Investment Possible",MAX($AG$29,$AG31*(1+$AH$25)))</f>
        <v>44000</v>
      </c>
      <c r="AH32" s="43">
        <f t="shared" ref="AH32:AH34" ca="1" si="19">AE32-AG32</f>
        <v>475140</v>
      </c>
      <c r="AI32" s="40"/>
      <c r="AJ32" s="42">
        <f>'Calc Engine'!$C32</f>
        <v>21</v>
      </c>
      <c r="AK32" s="43">
        <f t="shared" ca="1" si="9"/>
        <v>44000</v>
      </c>
      <c r="AL32" s="43">
        <f t="shared" ref="AL32:AL66" ca="1" si="20">SUM(AK32,AL31)</f>
        <v>84000</v>
      </c>
      <c r="AM32" s="40"/>
      <c r="AN32" s="43">
        <f t="shared" ref="AN32:AN66" ca="1" si="21">AK32*$AM$21</f>
        <v>4400</v>
      </c>
      <c r="AO32" s="43">
        <f ca="1">(AN32+AQ31)*(1+'Assumptions Sheet'!AA22)</f>
        <v>9986.4000000000015</v>
      </c>
      <c r="AP32" s="39">
        <f>_xlfn.XLOOKUP(AJ32,[1]Details!$L$14:$L$23,[1]Details!$M$14:$M$23,0,0,1)</f>
        <v>0</v>
      </c>
      <c r="AQ32" s="43">
        <f ca="1">AO32-AP32</f>
        <v>9986.4000000000015</v>
      </c>
      <c r="AR32" s="40"/>
      <c r="AS32" s="43">
        <f t="shared" ref="AS32:AS66" ca="1" si="22">AK32*$AM$22</f>
        <v>4400</v>
      </c>
      <c r="AT32" s="43">
        <f ca="1">(AV31+AS32)*(1+'Assumptions Sheet'!AB22)</f>
        <v>10300.799999999999</v>
      </c>
      <c r="AU32" s="39">
        <f>_xlfn.XLOOKUP(AJ32,[1]Details!$L$14:$L$23,[1]Details!$N$14:$N$23,0,0,1)</f>
        <v>0</v>
      </c>
      <c r="AV32" s="43">
        <f t="shared" ca="1" si="11"/>
        <v>10300.799999999999</v>
      </c>
      <c r="AW32" s="40"/>
      <c r="AX32" s="43">
        <f t="shared" ca="1" si="12"/>
        <v>35200</v>
      </c>
      <c r="AY32" s="43">
        <f ca="1">(AX32+BA31)*(1+'Assumptions Sheet'!AC22)</f>
        <v>86016</v>
      </c>
      <c r="AZ32" s="39">
        <f>_xlfn.XLOOKUP(AJ32,[1]Details!$L$14:$L$23,[1]Details!$O$14:$O$23,0,0,1)</f>
        <v>0</v>
      </c>
      <c r="BA32" s="43">
        <f ca="1">AY32-AZ32</f>
        <v>86016</v>
      </c>
      <c r="BB32" s="40"/>
      <c r="BC32" s="43">
        <f t="shared" ca="1" si="14"/>
        <v>44000</v>
      </c>
      <c r="BD32" s="43">
        <f ca="1">BC32+BC31</f>
        <v>84000</v>
      </c>
      <c r="BF32" s="39">
        <f t="shared" ca="1" si="15"/>
        <v>475140</v>
      </c>
      <c r="BG32" s="39">
        <f t="shared" ca="1" si="16"/>
        <v>0</v>
      </c>
      <c r="BH32" s="39">
        <f ca="1">(((BF32+BH31)*(1+'Assumptions Sheet'!AE22)))-BI31+BG32</f>
        <v>744955.6</v>
      </c>
      <c r="BI32" s="39">
        <f ca="1">(IF(BH32&gt;SUM([1]Details!$V$18,[1]Details!$V$19),[1]Details!$V$19,0))</f>
        <v>300000</v>
      </c>
      <c r="BJ32" s="40"/>
      <c r="BK32" s="39">
        <f ca="1">(IF(BH32&gt;SUM([1]Details!V19+[1]Details!V20),[1]Details!V20,0))</f>
        <v>80000</v>
      </c>
      <c r="BL32" s="39">
        <f ca="1">BK32*(1+'Assumptions Sheet'!AD22)</f>
        <v>84000</v>
      </c>
      <c r="BM32" s="39"/>
      <c r="BN32" s="39">
        <f ca="1">BL32-BM32+BN31</f>
        <v>399000</v>
      </c>
    </row>
    <row r="33" spans="1:66" ht="14.25" customHeight="1" outlineLevel="1" x14ac:dyDescent="0.3">
      <c r="A33" s="15"/>
      <c r="B33" s="15">
        <v>22</v>
      </c>
      <c r="C33" s="38">
        <f t="shared" si="17"/>
        <v>22</v>
      </c>
      <c r="E33" s="39">
        <f ca="1">E32*(1+'Assumptions Sheet'!E22)</f>
        <v>823680.00000000012</v>
      </c>
      <c r="F33" s="39">
        <f ca="1">F32*(1+'Assumptions Sheet'!F22)</f>
        <v>0</v>
      </c>
      <c r="G33" s="39">
        <f ca="1">G32*(1+'Assumptions Sheet'!G22)</f>
        <v>6615</v>
      </c>
      <c r="H33" s="39">
        <f ca="1">H32*(1+'Assumptions Sheet'!H22)</f>
        <v>0</v>
      </c>
      <c r="I33" s="39"/>
      <c r="J33" s="39"/>
      <c r="K33" s="39"/>
      <c r="L33" s="39"/>
      <c r="M33" s="39"/>
      <c r="N33" s="39">
        <f t="shared" ca="1" si="1"/>
        <v>830295.00000000012</v>
      </c>
      <c r="O33" s="40"/>
      <c r="P33" s="39"/>
      <c r="Q33" s="39">
        <f t="shared" si="3"/>
        <v>0</v>
      </c>
      <c r="R33" s="39">
        <f ca="1">R32*(1+'Assumptions Sheet'!Q22)</f>
        <v>21384</v>
      </c>
      <c r="S33" s="39">
        <f ca="1">S32*(1+'Assumptions Sheet'!P22)</f>
        <v>40060.800000000003</v>
      </c>
      <c r="T33" s="39">
        <f ca="1">T32*('Assumptions Sheet'!Q22+1)</f>
        <v>14256.000000000004</v>
      </c>
      <c r="U33" s="39">
        <f ca="1">U32*('Assumptions Sheet'!S22+1)</f>
        <v>6489.6</v>
      </c>
      <c r="V33" s="39">
        <f ca="1">V32*(1+'Assumptions Sheet'!Q22)</f>
        <v>28512.000000000007</v>
      </c>
      <c r="W33" s="39">
        <f ca="1">W32*(1+'Assumptions Sheet'!R22)</f>
        <v>20224.8</v>
      </c>
      <c r="X33" s="39">
        <f ca="1">X32*(1+'Assumptions Sheet'!O22)</f>
        <v>95256</v>
      </c>
      <c r="Y33" s="39">
        <f t="shared" si="18"/>
        <v>12000</v>
      </c>
      <c r="Z33" s="39">
        <f ca="1">'Assumptions Sheet'!V23</f>
        <v>15000</v>
      </c>
      <c r="AA33" s="41">
        <f t="shared" ca="1" si="5"/>
        <v>253183.2</v>
      </c>
      <c r="AB33" s="40"/>
      <c r="AC33" s="39">
        <f t="shared" ref="AC33:AC66" ca="1" si="23">N33</f>
        <v>830295.00000000012</v>
      </c>
      <c r="AD33" s="39">
        <f t="shared" ca="1" si="7"/>
        <v>253183.2</v>
      </c>
      <c r="AE33" s="39">
        <f t="shared" ca="1" si="8"/>
        <v>577111.80000000005</v>
      </c>
      <c r="AF33" s="39" t="str" cm="1">
        <f t="array" aca="1" ref="AF33" ca="1">_xlfn.IFS(AE33&lt;0,"Withdrawal From Savings A/C",AND(AE33&gt;0,BH32&lt;[1]Details!$V$18),"Transfer to Emergency Fund",AE33&gt;$AG$29,"Investment Possible",AND(AE33&gt;0,BH32&gt;[1]Details!$V$18),"Investment Possible With Bal")</f>
        <v>Investment Possible</v>
      </c>
      <c r="AG33" s="39" cm="1">
        <f t="array" aca="1" ref="AG33" ca="1">_xlfn.IFS(OR(AF33="Withdrawal From Savings A/C",AF33="Transfer to Emergency Fund"),0,AF33= "Investment Possible With Bal",AE33,AF33= "Investment Possible",MAX($AG$29,$AG32*(1+$AH$25)))</f>
        <v>48400.000000000007</v>
      </c>
      <c r="AH33" s="39">
        <f t="shared" ca="1" si="19"/>
        <v>528711.80000000005</v>
      </c>
      <c r="AI33" s="40"/>
      <c r="AJ33" s="38">
        <f>'Calc Engine'!$C33</f>
        <v>22</v>
      </c>
      <c r="AK33" s="39">
        <f t="shared" ca="1" si="9"/>
        <v>48400.000000000007</v>
      </c>
      <c r="AL33" s="39">
        <f t="shared" ca="1" si="20"/>
        <v>132400</v>
      </c>
      <c r="AM33" s="40"/>
      <c r="AN33" s="39">
        <f t="shared" ca="1" si="21"/>
        <v>4840.0000000000009</v>
      </c>
      <c r="AO33" s="39">
        <f ca="1">(AN33+AQ32)*(1+'Assumptions Sheet'!AA23)</f>
        <v>16605.568000000003</v>
      </c>
      <c r="AP33" s="39">
        <f>_xlfn.XLOOKUP(AJ33,[1]Details!$L$14:$L$23,[1]Details!$M$14:$M$23,0,0,1)</f>
        <v>0</v>
      </c>
      <c r="AQ33" s="39">
        <f t="shared" ref="AQ33:AQ66" ca="1" si="24">AO33-AP33</f>
        <v>16605.568000000003</v>
      </c>
      <c r="AR33" s="40"/>
      <c r="AS33" s="39">
        <f t="shared" ca="1" si="22"/>
        <v>4840.0000000000009</v>
      </c>
      <c r="AT33" s="39">
        <f ca="1">(AV32+AS33)*(1+'Assumptions Sheet'!AB23)</f>
        <v>17260.512000000002</v>
      </c>
      <c r="AU33" s="39">
        <f>_xlfn.XLOOKUP(AJ33,[1]Details!$L$14:$L$23,[1]Details!$N$14:$N$23,0,0,1)</f>
        <v>0</v>
      </c>
      <c r="AV33" s="39">
        <f t="shared" ca="1" si="11"/>
        <v>17260.512000000002</v>
      </c>
      <c r="AW33" s="40"/>
      <c r="AX33" s="39">
        <f t="shared" ca="1" si="12"/>
        <v>38720.000000000007</v>
      </c>
      <c r="AY33" s="39">
        <f ca="1">(AX33+BA32)*(1+'Assumptions Sheet'!AC23)</f>
        <v>144693.75999999998</v>
      </c>
      <c r="AZ33" s="39">
        <f>_xlfn.XLOOKUP(AJ33,[1]Details!$L$14:$L$23,[1]Details!$O$14:$O$23,0,0,1)</f>
        <v>0</v>
      </c>
      <c r="BA33" s="39">
        <f t="shared" ref="BA33:BA66" ca="1" si="25">AY33-AZ33</f>
        <v>144693.75999999998</v>
      </c>
      <c r="BB33" s="40"/>
      <c r="BC33" s="39">
        <f t="shared" ca="1" si="14"/>
        <v>48400.000000000007</v>
      </c>
      <c r="BD33" s="39">
        <f t="shared" ref="BD33:BD66" ca="1" si="26">BC33+BC32</f>
        <v>92400</v>
      </c>
      <c r="BF33" s="39">
        <f t="shared" ca="1" si="15"/>
        <v>528711.80000000005</v>
      </c>
      <c r="BG33" s="39">
        <f t="shared" ca="1" si="16"/>
        <v>0</v>
      </c>
      <c r="BH33" s="39">
        <f ca="1">(((BF33+BH32)*(1+'Assumptions Sheet'!AE23)))-BI32+BG33</f>
        <v>1011877.422</v>
      </c>
      <c r="BI33" s="39">
        <f ca="1">(IF(BH33&gt;SUM([1]Details!$V$18,[1]Details!$V$19),[1]Details!$V$19,0))</f>
        <v>300000</v>
      </c>
      <c r="BJ33" s="40"/>
      <c r="BK33" s="43">
        <f t="shared" ref="BK33:BK66" ca="1" si="27">BI33</f>
        <v>300000</v>
      </c>
      <c r="BL33" s="43">
        <f ca="1">BK33*(1+'Assumptions Sheet'!AD23)</f>
        <v>315000</v>
      </c>
      <c r="BM33" s="39"/>
      <c r="BN33" s="39">
        <f ca="1">BL33-BM33+BN32</f>
        <v>714000</v>
      </c>
    </row>
    <row r="34" spans="1:66" ht="14.25" customHeight="1" outlineLevel="1" x14ac:dyDescent="0.3">
      <c r="A34" s="15"/>
      <c r="B34" s="15">
        <v>23</v>
      </c>
      <c r="C34" s="42">
        <f t="shared" si="17"/>
        <v>23</v>
      </c>
      <c r="E34" s="43">
        <f ca="1">E33*(1+'Assumptions Sheet'!E23)</f>
        <v>881337.60000000021</v>
      </c>
      <c r="F34" s="43">
        <f ca="1">F33*(1+'Assumptions Sheet'!F23)</f>
        <v>0</v>
      </c>
      <c r="G34" s="43">
        <f ca="1">G33*(1+'Assumptions Sheet'!G23)</f>
        <v>6945.75</v>
      </c>
      <c r="H34" s="43">
        <f ca="1">H33*(1+'Assumptions Sheet'!H23)</f>
        <v>0</v>
      </c>
      <c r="I34" s="43"/>
      <c r="J34" s="43"/>
      <c r="K34" s="43"/>
      <c r="L34" s="43"/>
      <c r="M34" s="43"/>
      <c r="N34" s="43">
        <f t="shared" ca="1" si="1"/>
        <v>888283.35000000021</v>
      </c>
      <c r="O34" s="40"/>
      <c r="P34" s="43"/>
      <c r="Q34" s="43">
        <f t="shared" si="3"/>
        <v>0</v>
      </c>
      <c r="R34" s="43">
        <f ca="1">R33*(1+'Assumptions Sheet'!Q23)</f>
        <v>22453.200000000001</v>
      </c>
      <c r="S34" s="43">
        <f ca="1">S33*(1+'Assumptions Sheet'!P23)</f>
        <v>42063.840000000004</v>
      </c>
      <c r="T34" s="43">
        <f ca="1">T33*('Assumptions Sheet'!Q23+1)</f>
        <v>14968.800000000005</v>
      </c>
      <c r="U34" s="43">
        <f ca="1">U33*('Assumptions Sheet'!S23+1)</f>
        <v>6749.1840000000002</v>
      </c>
      <c r="V34" s="43">
        <f ca="1">V33*(1+'Assumptions Sheet'!Q23)</f>
        <v>29937.600000000009</v>
      </c>
      <c r="W34" s="43">
        <f ca="1">W33*(1+'Assumptions Sheet'!R23)</f>
        <v>21438.288</v>
      </c>
      <c r="X34" s="43">
        <f ca="1">X33*(1+'Assumptions Sheet'!O23)</f>
        <v>100971.36</v>
      </c>
      <c r="Y34" s="43">
        <f t="shared" si="18"/>
        <v>12000</v>
      </c>
      <c r="Z34" s="43">
        <f ca="1">'Assumptions Sheet'!V24</f>
        <v>10000</v>
      </c>
      <c r="AA34" s="41">
        <f t="shared" ca="1" si="5"/>
        <v>260582.272</v>
      </c>
      <c r="AB34" s="40"/>
      <c r="AC34" s="43">
        <f t="shared" ca="1" si="23"/>
        <v>888283.35000000021</v>
      </c>
      <c r="AD34" s="43">
        <f t="shared" ca="1" si="7"/>
        <v>260582.272</v>
      </c>
      <c r="AE34" s="39">
        <f t="shared" ca="1" si="8"/>
        <v>627701.07800000021</v>
      </c>
      <c r="AF34" s="43" t="str" cm="1">
        <f t="array" aca="1" ref="AF34" ca="1">_xlfn.IFS(AE34&lt;0,"Withdrawal From Savings A/C",AND(AE34&gt;0,BH33&lt;[1]Details!$V$18),"Transfer to Emergency Fund",AE34&gt;$AG$29,"Investment Possible",AND(AE34&gt;0,BH33&gt;[1]Details!$V$18),"Investment Possible With Bal")</f>
        <v>Investment Possible</v>
      </c>
      <c r="AG34" s="43" cm="1">
        <f t="array" aca="1" ref="AG34" ca="1">_xlfn.IFS(OR(AF34="Withdrawal From Savings A/C",AF34="Transfer to Emergency Fund"),0,AF34= "Investment Possible With Bal",AE34,AF34= "Investment Possible",MAX($AG$29,$AG33*(1+$AH$25)))</f>
        <v>53240.000000000015</v>
      </c>
      <c r="AH34" s="43">
        <f t="shared" ca="1" si="19"/>
        <v>574461.07800000021</v>
      </c>
      <c r="AI34" s="40"/>
      <c r="AJ34" s="42">
        <f>'Calc Engine'!$C34</f>
        <v>23</v>
      </c>
      <c r="AK34" s="43">
        <f t="shared" ca="1" si="9"/>
        <v>53240.000000000015</v>
      </c>
      <c r="AL34" s="43">
        <f t="shared" ca="1" si="20"/>
        <v>185640</v>
      </c>
      <c r="AM34" s="40"/>
      <c r="AN34" s="43">
        <f t="shared" ca="1" si="21"/>
        <v>5324.0000000000018</v>
      </c>
      <c r="AO34" s="43">
        <f ca="1">(AN34+AQ33)*(1+'Assumptions Sheet'!AA24)</f>
        <v>24999.707520000011</v>
      </c>
      <c r="AP34" s="39">
        <f>_xlfn.XLOOKUP(AJ34,[1]Details!$L$14:$L$23,[1]Details!$M$14:$M$23,0,0,1)</f>
        <v>0</v>
      </c>
      <c r="AQ34" s="43">
        <f t="shared" ca="1" si="24"/>
        <v>24999.707520000011</v>
      </c>
      <c r="AR34" s="40"/>
      <c r="AS34" s="43">
        <f t="shared" ca="1" si="22"/>
        <v>5324.0000000000018</v>
      </c>
      <c r="AT34" s="43">
        <f ca="1">(AV33+AS34)*(1+'Assumptions Sheet'!AB24)</f>
        <v>26198.033920000002</v>
      </c>
      <c r="AU34" s="39">
        <f>_xlfn.XLOOKUP(AJ34,[1]Details!$L$14:$L$23,[1]Details!$N$14:$N$23,0,0,1)</f>
        <v>0</v>
      </c>
      <c r="AV34" s="43">
        <f t="shared" ca="1" si="11"/>
        <v>26198.033920000002</v>
      </c>
      <c r="AW34" s="40"/>
      <c r="AX34" s="43">
        <f t="shared" ca="1" si="12"/>
        <v>42592.000000000015</v>
      </c>
      <c r="AY34" s="43">
        <f ca="1">(AX34+BA33)*(1+'Assumptions Sheet'!AC24)</f>
        <v>224742.91200000001</v>
      </c>
      <c r="AZ34" s="39">
        <f>_xlfn.XLOOKUP(AJ34,[1]Details!$L$14:$L$23,[1]Details!$O$14:$O$23,0,0,1)</f>
        <v>0</v>
      </c>
      <c r="BA34" s="43">
        <f t="shared" ca="1" si="25"/>
        <v>224742.91200000001</v>
      </c>
      <c r="BB34" s="40"/>
      <c r="BC34" s="43">
        <f t="shared" ca="1" si="14"/>
        <v>53240.000000000015</v>
      </c>
      <c r="BD34" s="43">
        <f t="shared" ca="1" si="26"/>
        <v>101640.00000000003</v>
      </c>
      <c r="BF34" s="39">
        <f t="shared" ca="1" si="15"/>
        <v>574461.07800000021</v>
      </c>
      <c r="BG34" s="39">
        <f t="shared" ca="1" si="16"/>
        <v>0</v>
      </c>
      <c r="BH34" s="39">
        <f ca="1">(((BF34+BH33)*(1+'Assumptions Sheet'!AE24)))-BI33+BG34</f>
        <v>1333928.6550000003</v>
      </c>
      <c r="BI34" s="39">
        <f ca="1">(IF(BH34&gt;SUM([1]Details!$V$18,[1]Details!$V$19),[1]Details!$V$19,0))</f>
        <v>300000</v>
      </c>
      <c r="BJ34" s="40"/>
      <c r="BK34" s="43">
        <f t="shared" ca="1" si="27"/>
        <v>300000</v>
      </c>
      <c r="BL34" s="43">
        <f ca="1">BK34*(1+'Assumptions Sheet'!AD24)</f>
        <v>315000</v>
      </c>
      <c r="BM34" s="43"/>
      <c r="BN34" s="39">
        <f ca="1">BL34-BM34+BN33</f>
        <v>1029000</v>
      </c>
    </row>
    <row r="35" spans="1:66" ht="14.25" customHeight="1" outlineLevel="1" x14ac:dyDescent="0.3">
      <c r="A35" s="15"/>
      <c r="B35" s="15">
        <v>24</v>
      </c>
      <c r="C35" s="38">
        <f t="shared" si="17"/>
        <v>24</v>
      </c>
      <c r="E35" s="39">
        <f ca="1">E34*(1+'Assumptions Sheet'!E24)</f>
        <v>969471.36000000034</v>
      </c>
      <c r="F35" s="39">
        <f ca="1">F34*(1+'Assumptions Sheet'!F24)</f>
        <v>0</v>
      </c>
      <c r="G35" s="39">
        <f ca="1">G34*(1+'Assumptions Sheet'!G24)</f>
        <v>7293.0375000000004</v>
      </c>
      <c r="H35" s="39">
        <f ca="1">H34*(1+'Assumptions Sheet'!H24)</f>
        <v>0</v>
      </c>
      <c r="I35" s="39"/>
      <c r="J35" s="39"/>
      <c r="K35" s="39"/>
      <c r="L35" s="39"/>
      <c r="M35" s="39"/>
      <c r="N35" s="39">
        <f t="shared" ref="N35:N66" ca="1" si="28">SUM(E35:M35)</f>
        <v>976764.39750000031</v>
      </c>
      <c r="O35" s="40"/>
      <c r="P35" s="39"/>
      <c r="Q35" s="39">
        <f t="shared" si="3"/>
        <v>0</v>
      </c>
      <c r="R35" s="39">
        <f ca="1">R34*(1+'Assumptions Sheet'!Q24)</f>
        <v>24249.456000000002</v>
      </c>
      <c r="S35" s="39">
        <f ca="1">S34*(1+'Assumptions Sheet'!P24)</f>
        <v>43746.393600000003</v>
      </c>
      <c r="T35" s="39">
        <f ca="1">T34*('Assumptions Sheet'!Q24+1)</f>
        <v>16166.304000000006</v>
      </c>
      <c r="U35" s="39">
        <f ca="1">U34*('Assumptions Sheet'!S24+1)</f>
        <v>7019.1513600000008</v>
      </c>
      <c r="V35" s="39">
        <f ca="1">V34*(1+'Assumptions Sheet'!Q24)</f>
        <v>32332.608000000011</v>
      </c>
      <c r="W35" s="39">
        <f ca="1">W34*(1+'Assumptions Sheet'!R24)</f>
        <v>22724.585280000003</v>
      </c>
      <c r="X35" s="39">
        <f ca="1">X34*(1+'Assumptions Sheet'!O24)</f>
        <v>106019.928</v>
      </c>
      <c r="Y35" s="39">
        <f t="shared" si="18"/>
        <v>12000</v>
      </c>
      <c r="Z35" s="39">
        <f ca="1">'Assumptions Sheet'!V25</f>
        <v>10000</v>
      </c>
      <c r="AA35" s="41">
        <f t="shared" ca="1" si="5"/>
        <v>274258.42624</v>
      </c>
      <c r="AB35" s="40"/>
      <c r="AC35" s="39">
        <f t="shared" ca="1" si="23"/>
        <v>976764.39750000031</v>
      </c>
      <c r="AD35" s="39">
        <f t="shared" ca="1" si="7"/>
        <v>274258.42624</v>
      </c>
      <c r="AE35" s="39">
        <f t="shared" ca="1" si="8"/>
        <v>702505.97126000025</v>
      </c>
      <c r="AF35" s="39" t="str" cm="1">
        <f t="array" aca="1" ref="AF35" ca="1">_xlfn.IFS(AE35&lt;0,"Withdrawal From Savings A/C",AND(AE35&gt;0,BH34&lt;[1]Details!$V$18),"Transfer to Emergency Fund",AE35&gt;$AG$29,"Investment Possible",AND(AE35&gt;0,BH34&gt;[1]Details!$V$18),"Investment Possible With Bal")</f>
        <v>Investment Possible</v>
      </c>
      <c r="AG35" s="39" cm="1">
        <f t="array" aca="1" ref="AG35" ca="1">_xlfn.IFS(OR(AF35="Withdrawal From Savings A/C",AF35="Transfer to Emergency Fund"),0,AF35= "Investment Possible With Bal",AE35,AF35= "Investment Possible",MAX($AG$29,$AG34*(1+$AH$25)))</f>
        <v>58564.000000000022</v>
      </c>
      <c r="AH35" s="39">
        <f ca="1">AE35-AG35</f>
        <v>643941.97126000025</v>
      </c>
      <c r="AI35" s="40"/>
      <c r="AJ35" s="38">
        <f>'Calc Engine'!$C35</f>
        <v>24</v>
      </c>
      <c r="AK35" s="39">
        <f t="shared" ca="1" si="9"/>
        <v>58564.000000000022</v>
      </c>
      <c r="AL35" s="39">
        <f t="shared" ca="1" si="20"/>
        <v>244204.00000000003</v>
      </c>
      <c r="AM35" s="40"/>
      <c r="AN35" s="39">
        <f t="shared" ca="1" si="21"/>
        <v>5856.4000000000024</v>
      </c>
      <c r="AO35" s="39">
        <f ca="1">(AN35+AQ34)*(1+'Assumptions Sheet'!AA25)</f>
        <v>35175.962572800017</v>
      </c>
      <c r="AP35" s="39">
        <f>_xlfn.XLOOKUP(AJ35,[1]Details!$L$14:$L$23,[1]Details!$M$14:$M$23,0,0,1)</f>
        <v>0</v>
      </c>
      <c r="AQ35" s="39">
        <f t="shared" ca="1" si="24"/>
        <v>35175.962572800017</v>
      </c>
      <c r="AR35" s="40"/>
      <c r="AS35" s="39">
        <f t="shared" ca="1" si="22"/>
        <v>5856.4000000000024</v>
      </c>
      <c r="AT35" s="39">
        <f ca="1">(AV34+AS35)*(1+'Assumptions Sheet'!AB25)</f>
        <v>37183.143347199999</v>
      </c>
      <c r="AU35" s="39">
        <f>_xlfn.XLOOKUP(AJ35,[1]Details!$L$14:$L$23,[1]Details!$N$14:$N$23,0,0,1)</f>
        <v>0</v>
      </c>
      <c r="AV35" s="39">
        <f t="shared" ca="1" si="11"/>
        <v>37183.143347199999</v>
      </c>
      <c r="AW35" s="40"/>
      <c r="AX35" s="39">
        <f t="shared" ca="1" si="12"/>
        <v>46851.200000000019</v>
      </c>
      <c r="AY35" s="39">
        <f ca="1">(AX35+BA34)*(1+'Assumptions Sheet'!AC25)</f>
        <v>325912.93440000003</v>
      </c>
      <c r="AZ35" s="39">
        <f>_xlfn.XLOOKUP(AJ35,[1]Details!$L$14:$L$23,[1]Details!$O$14:$O$23,0,0,1)</f>
        <v>0</v>
      </c>
      <c r="BA35" s="39">
        <f t="shared" ca="1" si="25"/>
        <v>325912.93440000003</v>
      </c>
      <c r="BB35" s="40"/>
      <c r="BC35" s="39">
        <f t="shared" ca="1" si="14"/>
        <v>58564.000000000022</v>
      </c>
      <c r="BD35" s="39">
        <f t="shared" ca="1" si="26"/>
        <v>111804.00000000003</v>
      </c>
      <c r="BF35" s="39">
        <f t="shared" ca="1" si="15"/>
        <v>643941.97126000025</v>
      </c>
      <c r="BG35" s="39">
        <f t="shared" ca="1" si="16"/>
        <v>0</v>
      </c>
      <c r="BH35" s="39">
        <f ca="1">(((BF35+BH34)*(1+'Assumptions Sheet'!AE25)))-BI34+BG35</f>
        <v>1737206.7450478005</v>
      </c>
      <c r="BI35" s="39">
        <f ca="1">(IF(BH35&gt;SUM([1]Details!$V$18,[1]Details!$V$19),[1]Details!$V$19,0))</f>
        <v>300000</v>
      </c>
      <c r="BJ35" s="44" t="s">
        <v>44</v>
      </c>
      <c r="BK35" s="39">
        <f t="shared" ca="1" si="27"/>
        <v>300000</v>
      </c>
      <c r="BL35" s="39">
        <f ca="1">BK35*(1+'Assumptions Sheet'!AD25)</f>
        <v>315000</v>
      </c>
      <c r="BM35" s="39"/>
      <c r="BN35" s="39">
        <f t="shared" ref="BN35:BN66" ca="1" si="29">BL35-BM35+BN34</f>
        <v>1344000</v>
      </c>
    </row>
    <row r="36" spans="1:66" ht="14.25" customHeight="1" outlineLevel="1" x14ac:dyDescent="0.3">
      <c r="A36" s="15"/>
      <c r="B36" s="15">
        <v>25</v>
      </c>
      <c r="C36" s="42">
        <f t="shared" si="17"/>
        <v>25</v>
      </c>
      <c r="E36" s="43">
        <f ca="1">E35*(1+'Assumptions Sheet'!E25)</f>
        <v>1066418.4960000005</v>
      </c>
      <c r="F36" s="43">
        <f ca="1">F35*(1+'Assumptions Sheet'!F25)</f>
        <v>0</v>
      </c>
      <c r="G36" s="43">
        <f ca="1">G35*(1+'Assumptions Sheet'!G25)</f>
        <v>7657.6893750000008</v>
      </c>
      <c r="H36" s="43">
        <f ca="1">H35*(1+'Assumptions Sheet'!H25)</f>
        <v>0</v>
      </c>
      <c r="I36" s="43"/>
      <c r="J36" s="43"/>
      <c r="K36" s="43"/>
      <c r="L36" s="43"/>
      <c r="M36" s="43"/>
      <c r="N36" s="43">
        <f t="shared" ca="1" si="28"/>
        <v>1074076.1853750006</v>
      </c>
      <c r="O36" s="40"/>
      <c r="P36" s="43"/>
      <c r="Q36" s="43">
        <f t="shared" si="3"/>
        <v>0</v>
      </c>
      <c r="R36" s="43">
        <f ca="1">R35*(1+'Assumptions Sheet'!Q25)</f>
        <v>26189.412480000003</v>
      </c>
      <c r="S36" s="43">
        <f ca="1">S35*(1+'Assumptions Sheet'!P25)</f>
        <v>45496.249344000003</v>
      </c>
      <c r="T36" s="43">
        <f ca="1">T35*('Assumptions Sheet'!Q25+1)</f>
        <v>17459.608320000007</v>
      </c>
      <c r="U36" s="43">
        <f ca="1">U35*('Assumptions Sheet'!S25+1)</f>
        <v>7299.9174144000008</v>
      </c>
      <c r="V36" s="43">
        <f ca="1">V35*(1+'Assumptions Sheet'!Q25)</f>
        <v>34919.216640000013</v>
      </c>
      <c r="W36" s="43">
        <f ca="1">W35*(1+'Assumptions Sheet'!R25)</f>
        <v>24088.060396800003</v>
      </c>
      <c r="X36" s="43">
        <f ca="1">X35*(1+'Assumptions Sheet'!O25)</f>
        <v>111320.9244</v>
      </c>
      <c r="Y36" s="43">
        <f t="shared" si="18"/>
        <v>12000</v>
      </c>
      <c r="Z36" s="43">
        <f ca="1">'Assumptions Sheet'!V26</f>
        <v>30000</v>
      </c>
      <c r="AA36" s="41">
        <f t="shared" ca="1" si="5"/>
        <v>308773.38899520005</v>
      </c>
      <c r="AB36" s="40"/>
      <c r="AC36" s="43">
        <f t="shared" ca="1" si="23"/>
        <v>1074076.1853750006</v>
      </c>
      <c r="AD36" s="43">
        <f t="shared" ca="1" si="7"/>
        <v>308773.38899520005</v>
      </c>
      <c r="AE36" s="39">
        <f t="shared" ca="1" si="8"/>
        <v>765302.79637980054</v>
      </c>
      <c r="AF36" s="43" t="str" cm="1">
        <f t="array" aca="1" ref="AF36" ca="1">_xlfn.IFS(AE36&lt;0,"Withdrawal From Savings A/C",AND(AE36&gt;0,BH35&lt;[1]Details!$V$18),"Transfer to Emergency Fund",AE36&gt;$AG$29,"Investment Possible",AND(AE36&gt;0,BH35&gt;[1]Details!$V$18),"Investment Possible With Bal")</f>
        <v>Investment Possible</v>
      </c>
      <c r="AG36" s="43" cm="1">
        <f t="array" aca="1" ref="AG36" ca="1">_xlfn.IFS(OR(AF36="Withdrawal From Savings A/C",AF36="Transfer to Emergency Fund"),0,AF36= "Investment Possible With Bal",AE36,AF36= "Investment Possible",MAX($AG$29,$AG35*(1+$AH$25)))</f>
        <v>64420.400000000031</v>
      </c>
      <c r="AH36" s="43">
        <f t="shared" ref="AH36:AH66" ca="1" si="30">AE36-AG36</f>
        <v>700882.39637980051</v>
      </c>
      <c r="AI36" s="40"/>
      <c r="AJ36" s="42">
        <f>'Calc Engine'!$C36</f>
        <v>25</v>
      </c>
      <c r="AK36" s="43">
        <f t="shared" ca="1" si="9"/>
        <v>64420.400000000031</v>
      </c>
      <c r="AL36" s="43">
        <f t="shared" ca="1" si="20"/>
        <v>308624.40000000008</v>
      </c>
      <c r="AM36" s="40"/>
      <c r="AN36" s="43">
        <f t="shared" ca="1" si="21"/>
        <v>6442.0400000000036</v>
      </c>
      <c r="AO36" s="43">
        <f ca="1">(AN36+AQ35)*(1+'Assumptions Sheet'!AA26)</f>
        <v>45363.622804352024</v>
      </c>
      <c r="AP36" s="39">
        <f>_xlfn.XLOOKUP(AJ36,[1]Details!$L$14:$L$23,[1]Details!$M$14:$M$23,0,0,1)</f>
        <v>0</v>
      </c>
      <c r="AQ36" s="43">
        <f t="shared" ca="1" si="24"/>
        <v>45363.622804352024</v>
      </c>
      <c r="AR36" s="40"/>
      <c r="AS36" s="43">
        <f t="shared" ca="1" si="22"/>
        <v>6442.0400000000036</v>
      </c>
      <c r="AT36" s="43">
        <f ca="1">(AV35+AS36)*(1+'Assumptions Sheet'!AB26)</f>
        <v>48860.205348864001</v>
      </c>
      <c r="AU36" s="39">
        <f>_xlfn.XLOOKUP(AJ36,[1]Details!$L$14:$L$23,[1]Details!$N$14:$N$23,0,0,1)</f>
        <v>0</v>
      </c>
      <c r="AV36" s="43">
        <f t="shared" ca="1" si="11"/>
        <v>48860.205348864001</v>
      </c>
      <c r="AW36" s="40"/>
      <c r="AX36" s="43">
        <f t="shared" ca="1" si="12"/>
        <v>51536.320000000029</v>
      </c>
      <c r="AY36" s="43">
        <f ca="1">(AX36+BA35)*(1+'Assumptions Sheet'!AC26)</f>
        <v>430292.15001600009</v>
      </c>
      <c r="AZ36" s="39">
        <f>_xlfn.XLOOKUP(AJ36,[1]Details!$L$14:$L$23,[1]Details!$O$14:$O$23,0,0,1)</f>
        <v>0</v>
      </c>
      <c r="BA36" s="43">
        <f t="shared" ca="1" si="25"/>
        <v>430292.15001600009</v>
      </c>
      <c r="BB36" s="40"/>
      <c r="BC36" s="43">
        <f t="shared" ca="1" si="14"/>
        <v>64420.400000000031</v>
      </c>
      <c r="BD36" s="43">
        <f t="shared" ca="1" si="26"/>
        <v>122984.40000000005</v>
      </c>
      <c r="BF36" s="39">
        <f t="shared" ca="1" si="15"/>
        <v>700882.39637980051</v>
      </c>
      <c r="BG36" s="39">
        <f t="shared" ca="1" si="16"/>
        <v>0</v>
      </c>
      <c r="BH36" s="39">
        <f ca="1">(((BF36+BH35)*(1+'Assumptions Sheet'!AE26)))-BI35+BG36</f>
        <v>2211231.8156704288</v>
      </c>
      <c r="BI36" s="39">
        <f ca="1">(IF(BH36&gt;SUM([1]Details!$V$18,[1]Details!$V$19),[1]Details!$V$19,0))</f>
        <v>300000</v>
      </c>
      <c r="BJ36" s="40"/>
      <c r="BK36" s="43">
        <f t="shared" ca="1" si="27"/>
        <v>300000</v>
      </c>
      <c r="BL36" s="43">
        <f ca="1">BK36*(1+'Assumptions Sheet'!AD26)</f>
        <v>315000</v>
      </c>
      <c r="BM36" s="43"/>
      <c r="BN36" s="39">
        <f t="shared" ca="1" si="29"/>
        <v>1659000</v>
      </c>
    </row>
    <row r="37" spans="1:66" ht="14.25" customHeight="1" outlineLevel="1" x14ac:dyDescent="0.3">
      <c r="A37" s="15"/>
      <c r="B37" s="15">
        <v>26</v>
      </c>
      <c r="C37" s="38">
        <f t="shared" si="17"/>
        <v>26</v>
      </c>
      <c r="E37" s="39">
        <f ca="1">E36*(1+'Assumptions Sheet'!E26)</f>
        <v>1109075.2358400007</v>
      </c>
      <c r="F37" s="39">
        <f ca="1">F36*(1+'Assumptions Sheet'!F26)</f>
        <v>0</v>
      </c>
      <c r="G37" s="39">
        <f ca="1">G36*(1+'Assumptions Sheet'!G26)</f>
        <v>8040.5738437500013</v>
      </c>
      <c r="H37" s="39">
        <f ca="1">H36*(1+'Assumptions Sheet'!H26)</f>
        <v>0</v>
      </c>
      <c r="I37" s="39"/>
      <c r="J37" s="39"/>
      <c r="K37" s="39"/>
      <c r="L37" s="39"/>
      <c r="M37" s="39"/>
      <c r="N37" s="39">
        <f t="shared" ca="1" si="28"/>
        <v>1117115.8096837506</v>
      </c>
      <c r="O37" s="40"/>
      <c r="P37" s="39"/>
      <c r="Q37" s="39">
        <f t="shared" si="3"/>
        <v>0</v>
      </c>
      <c r="R37" s="39">
        <f ca="1">R36*(1+'Assumptions Sheet'!Q26)</f>
        <v>28808.353728000006</v>
      </c>
      <c r="S37" s="39">
        <f ca="1">S36*(1+'Assumptions Sheet'!P26)</f>
        <v>48680.986798080005</v>
      </c>
      <c r="T37" s="39">
        <f ca="1">T36*('Assumptions Sheet'!Q26+1)</f>
        <v>19205.569152000007</v>
      </c>
      <c r="U37" s="39">
        <f ca="1">U36*('Assumptions Sheet'!S26+1)</f>
        <v>7591.9141109760012</v>
      </c>
      <c r="V37" s="39">
        <f ca="1">V36*(1+'Assumptions Sheet'!Q26)</f>
        <v>38411.138304000015</v>
      </c>
      <c r="W37" s="39">
        <f ca="1">W36*(1+'Assumptions Sheet'!R26)</f>
        <v>25533.344020608005</v>
      </c>
      <c r="X37" s="39">
        <f ca="1">X36*(1+'Assumptions Sheet'!O26)</f>
        <v>120226.59835200002</v>
      </c>
      <c r="Y37" s="39">
        <f t="shared" si="18"/>
        <v>12000</v>
      </c>
      <c r="Z37" s="39">
        <f ca="1">'Assumptions Sheet'!V27</f>
        <v>10000</v>
      </c>
      <c r="AA37" s="41">
        <f t="shared" ca="1" si="5"/>
        <v>310457.90446566406</v>
      </c>
      <c r="AB37" s="40"/>
      <c r="AC37" s="39">
        <f t="shared" ca="1" si="23"/>
        <v>1117115.8096837506</v>
      </c>
      <c r="AD37" s="39">
        <f t="shared" ca="1" si="7"/>
        <v>310457.90446566406</v>
      </c>
      <c r="AE37" s="39">
        <f t="shared" ca="1" si="8"/>
        <v>806657.90521808655</v>
      </c>
      <c r="AF37" s="39" t="str" cm="1">
        <f t="array" aca="1" ref="AF37" ca="1">_xlfn.IFS(AE37&lt;0,"Withdrawal From Savings A/C",AND(AE37&gt;0,BH36&lt;[1]Details!$V$18),"Transfer to Emergency Fund",AE37&gt;$AG$29,"Investment Possible",AND(AE37&gt;0,BH36&gt;[1]Details!$V$18),"Investment Possible With Bal")</f>
        <v>Investment Possible</v>
      </c>
      <c r="AG37" s="39" cm="1">
        <f t="array" aca="1" ref="AG37" ca="1">_xlfn.IFS(OR(AF37="Withdrawal From Savings A/C",AF37="Transfer to Emergency Fund"),0,AF37= "Investment Possible With Bal",AE37,AF37= "Investment Possible",MAX($AG$29,$AG36*(1+$AH$25)))</f>
        <v>70862.440000000046</v>
      </c>
      <c r="AH37" s="39">
        <f t="shared" ca="1" si="30"/>
        <v>735795.46521808649</v>
      </c>
      <c r="AI37" s="40"/>
      <c r="AJ37" s="38">
        <f>'Calc Engine'!$C37</f>
        <v>26</v>
      </c>
      <c r="AK37" s="39">
        <f t="shared" ca="1" si="9"/>
        <v>70862.440000000046</v>
      </c>
      <c r="AL37" s="39">
        <f t="shared" ca="1" si="20"/>
        <v>379486.84000000014</v>
      </c>
      <c r="AM37" s="40"/>
      <c r="AN37" s="39">
        <f t="shared" ca="1" si="21"/>
        <v>7086.2440000000051</v>
      </c>
      <c r="AO37" s="39">
        <f ca="1">(AN37+AQ36)*(1+'Assumptions Sheet'!AA27)</f>
        <v>59792.848156961321</v>
      </c>
      <c r="AP37" s="39">
        <f>_xlfn.XLOOKUP(AJ37,[1]Details!$L$14:$L$23,[1]Details!$M$14:$M$23,0,0,1)</f>
        <v>0</v>
      </c>
      <c r="AQ37" s="39">
        <f t="shared" ca="1" si="24"/>
        <v>59792.848156961321</v>
      </c>
      <c r="AR37" s="40"/>
      <c r="AS37" s="39">
        <f t="shared" ca="1" si="22"/>
        <v>7086.2440000000051</v>
      </c>
      <c r="AT37" s="39">
        <f ca="1">(AV36+AS37)*(1+'Assumptions Sheet'!AB27)</f>
        <v>64897.881244682241</v>
      </c>
      <c r="AU37" s="39">
        <f>_xlfn.XLOOKUP(AJ37,[1]Details!$L$14:$L$23,[1]Details!$N$14:$N$23,0,0,1)</f>
        <v>0</v>
      </c>
      <c r="AV37" s="39">
        <f t="shared" ca="1" si="11"/>
        <v>64897.881244682241</v>
      </c>
      <c r="AW37" s="40"/>
      <c r="AX37" s="39">
        <f t="shared" ca="1" si="12"/>
        <v>56689.952000000041</v>
      </c>
      <c r="AY37" s="39">
        <f ca="1">(AX37+BA36)*(1+'Assumptions Sheet'!AC27)</f>
        <v>584378.52241920016</v>
      </c>
      <c r="AZ37" s="39">
        <f>_xlfn.XLOOKUP(AJ37,[1]Details!$L$14:$L$23,[1]Details!$O$14:$O$23,0,0,1)</f>
        <v>0</v>
      </c>
      <c r="BA37" s="39">
        <f t="shared" ca="1" si="25"/>
        <v>584378.52241920016</v>
      </c>
      <c r="BB37" s="40"/>
      <c r="BC37" s="39">
        <f t="shared" ca="1" si="14"/>
        <v>70862.440000000046</v>
      </c>
      <c r="BD37" s="39">
        <f t="shared" ca="1" si="26"/>
        <v>135282.84000000008</v>
      </c>
      <c r="BF37" s="39">
        <f t="shared" ca="1" si="15"/>
        <v>735795.46521808649</v>
      </c>
      <c r="BG37" s="39">
        <f t="shared" ca="1" si="16"/>
        <v>0</v>
      </c>
      <c r="BH37" s="39">
        <f ca="1">(((BF37+BH36)*(1+'Assumptions Sheet'!AE27)))-BI36+BG37</f>
        <v>2735438.0993151711</v>
      </c>
      <c r="BI37" s="39">
        <f ca="1">(IF(BH37&gt;SUM([1]Details!$V$18,[1]Details!$V$19),[1]Details!$V$19,0))</f>
        <v>300000</v>
      </c>
      <c r="BJ37" s="40"/>
      <c r="BK37" s="39">
        <f t="shared" ca="1" si="27"/>
        <v>300000</v>
      </c>
      <c r="BL37" s="39">
        <f ca="1">BK37*(1+'Assumptions Sheet'!AD27)</f>
        <v>315000</v>
      </c>
      <c r="BM37" s="39"/>
      <c r="BN37" s="39">
        <f t="shared" ca="1" si="29"/>
        <v>1974000</v>
      </c>
    </row>
    <row r="38" spans="1:66" ht="14.25" customHeight="1" outlineLevel="1" x14ac:dyDescent="0.3">
      <c r="A38" s="15"/>
      <c r="B38" s="15">
        <v>27</v>
      </c>
      <c r="C38" s="42">
        <f t="shared" si="17"/>
        <v>27</v>
      </c>
      <c r="E38" s="43">
        <f ca="1">E37*(1+'Assumptions Sheet'!E27)</f>
        <v>1219982.7594240007</v>
      </c>
      <c r="F38" s="43">
        <f ca="1">F37*(1+'Assumptions Sheet'!F27)</f>
        <v>0</v>
      </c>
      <c r="G38" s="43">
        <f ca="1">G37*(1+'Assumptions Sheet'!G27)</f>
        <v>8442.6025359375017</v>
      </c>
      <c r="H38" s="43">
        <f ca="1">H37*(1+'Assumptions Sheet'!H27)</f>
        <v>0</v>
      </c>
      <c r="I38" s="43"/>
      <c r="J38" s="43"/>
      <c r="K38" s="43"/>
      <c r="L38" s="43"/>
      <c r="M38" s="43"/>
      <c r="N38" s="43">
        <f t="shared" ca="1" si="28"/>
        <v>1228425.3619599382</v>
      </c>
      <c r="O38" s="40"/>
      <c r="P38" s="43"/>
      <c r="Q38" s="43">
        <f t="shared" si="3"/>
        <v>0</v>
      </c>
      <c r="R38" s="43">
        <f ca="1">R37*(1+'Assumptions Sheet'!Q27)</f>
        <v>31113.022026240007</v>
      </c>
      <c r="S38" s="43">
        <f ca="1">S37*(1+'Assumptions Sheet'!P27)</f>
        <v>50628.226270003208</v>
      </c>
      <c r="T38" s="43">
        <f ca="1">T37*('Assumptions Sheet'!Q27+1)</f>
        <v>20742.014684160011</v>
      </c>
      <c r="U38" s="43">
        <f ca="1">U37*('Assumptions Sheet'!S27+1)</f>
        <v>7895.5906754150419</v>
      </c>
      <c r="V38" s="43">
        <f ca="1">V37*(1+'Assumptions Sheet'!Q27)</f>
        <v>41484.029368320022</v>
      </c>
      <c r="W38" s="43">
        <f ca="1">W37*(1+'Assumptions Sheet'!R27)</f>
        <v>27065.344661844487</v>
      </c>
      <c r="X38" s="43">
        <f ca="1">X37*(1+'Assumptions Sheet'!O27)</f>
        <v>126237.92826960002</v>
      </c>
      <c r="Y38" s="43">
        <f t="shared" si="18"/>
        <v>12000</v>
      </c>
      <c r="Z38" s="43">
        <f ca="1">'Assumptions Sheet'!V28</f>
        <v>10000</v>
      </c>
      <c r="AA38" s="41">
        <f t="shared" ca="1" si="5"/>
        <v>327166.1559555828</v>
      </c>
      <c r="AB38" s="40"/>
      <c r="AC38" s="43">
        <f t="shared" ca="1" si="23"/>
        <v>1228425.3619599382</v>
      </c>
      <c r="AD38" s="43">
        <f t="shared" ca="1" si="7"/>
        <v>327166.1559555828</v>
      </c>
      <c r="AE38" s="39">
        <f t="shared" ca="1" si="8"/>
        <v>901259.20600435534</v>
      </c>
      <c r="AF38" s="43" t="str" cm="1">
        <f t="array" aca="1" ref="AF38" ca="1">_xlfn.IFS(AE38&lt;0,"Withdrawal From Savings A/C",AND(AE38&gt;0,BH37&lt;[1]Details!$V$18),"Transfer to Emergency Fund",AE38&gt;$AG$29,"Investment Possible",AND(AE38&gt;0,BH37&gt;[1]Details!$V$18),"Investment Possible With Bal")</f>
        <v>Investment Possible</v>
      </c>
      <c r="AG38" s="43" cm="1">
        <f t="array" aca="1" ref="AG38" ca="1">_xlfn.IFS(OR(AF38="Withdrawal From Savings A/C",AF38="Transfer to Emergency Fund"),0,AF38= "Investment Possible With Bal",AE38,AF38= "Investment Possible",MAX($AG$29,$AG37*(1+$AH$25)))</f>
        <v>77948.684000000052</v>
      </c>
      <c r="AH38" s="43">
        <f t="shared" ca="1" si="30"/>
        <v>823310.52200435533</v>
      </c>
      <c r="AI38" s="40"/>
      <c r="AJ38" s="42">
        <f>'Calc Engine'!$C38</f>
        <v>27</v>
      </c>
      <c r="AK38" s="43">
        <f t="shared" ca="1" si="9"/>
        <v>77948.684000000052</v>
      </c>
      <c r="AL38" s="43">
        <f t="shared" ca="1" si="20"/>
        <v>457435.52400000021</v>
      </c>
      <c r="AM38" s="40"/>
      <c r="AN38" s="43">
        <f t="shared" ca="1" si="21"/>
        <v>7794.8684000000057</v>
      </c>
      <c r="AO38" s="43">
        <f ca="1">(AN38+AQ37)*(1+'Assumptions Sheet'!AA28)</f>
        <v>77049.996874935925</v>
      </c>
      <c r="AP38" s="39">
        <f>_xlfn.XLOOKUP(AJ38,[1]Details!$L$14:$L$23,[1]Details!$M$14:$M$23,0,0,1)</f>
        <v>0</v>
      </c>
      <c r="AQ38" s="43">
        <f t="shared" ca="1" si="24"/>
        <v>77049.996874935925</v>
      </c>
      <c r="AR38" s="40"/>
      <c r="AS38" s="43">
        <f t="shared" ca="1" si="22"/>
        <v>7794.8684000000057</v>
      </c>
      <c r="AT38" s="43">
        <f ca="1">(AV37+AS38)*(1+'Assumptions Sheet'!AB28)</f>
        <v>84323.589587831404</v>
      </c>
      <c r="AU38" s="39">
        <f>_xlfn.XLOOKUP(AJ38,[1]Details!$L$14:$L$23,[1]Details!$N$14:$N$23,0,0,1)</f>
        <v>0</v>
      </c>
      <c r="AV38" s="43">
        <f t="shared" ca="1" si="11"/>
        <v>84323.589587831404</v>
      </c>
      <c r="AW38" s="40"/>
      <c r="AX38" s="43">
        <f t="shared" ca="1" si="12"/>
        <v>62358.947200000046</v>
      </c>
      <c r="AY38" s="43">
        <f ca="1">(AX38+BA37)*(1+'Assumptions Sheet'!AC28)</f>
        <v>776084.96354304021</v>
      </c>
      <c r="AZ38" s="39">
        <f>_xlfn.XLOOKUP(AJ38,[1]Details!$L$14:$L$23,[1]Details!$O$14:$O$23,0,0,1)</f>
        <v>0</v>
      </c>
      <c r="BA38" s="43">
        <f t="shared" ca="1" si="25"/>
        <v>776084.96354304021</v>
      </c>
      <c r="BB38" s="40"/>
      <c r="BC38" s="43">
        <f t="shared" ca="1" si="14"/>
        <v>77948.684000000052</v>
      </c>
      <c r="BD38" s="43">
        <f t="shared" ca="1" si="26"/>
        <v>148811.1240000001</v>
      </c>
      <c r="BF38" s="39">
        <f t="shared" ca="1" si="15"/>
        <v>823310.52200435533</v>
      </c>
      <c r="BG38" s="39">
        <f t="shared" ca="1" si="16"/>
        <v>0</v>
      </c>
      <c r="BH38" s="39">
        <f ca="1">(((BF38+BH37)*(1+'Assumptions Sheet'!AE28)))-BI37+BG38</f>
        <v>3365511.0799591122</v>
      </c>
      <c r="BI38" s="39">
        <f ca="1">(IF(BH38&gt;SUM([1]Details!$V$18,[1]Details!$V$19),[1]Details!$V$19,0))</f>
        <v>300000</v>
      </c>
      <c r="BJ38" s="40"/>
      <c r="BK38" s="43">
        <f t="shared" ca="1" si="27"/>
        <v>300000</v>
      </c>
      <c r="BL38" s="43">
        <f ca="1">BK38*(1+'Assumptions Sheet'!AD28)</f>
        <v>315000</v>
      </c>
      <c r="BM38" s="43"/>
      <c r="BN38" s="39">
        <f t="shared" ca="1" si="29"/>
        <v>2289000</v>
      </c>
    </row>
    <row r="39" spans="1:66" ht="14.25" customHeight="1" outlineLevel="1" x14ac:dyDescent="0.3">
      <c r="A39" s="15"/>
      <c r="B39" s="15">
        <v>28</v>
      </c>
      <c r="C39" s="38">
        <f t="shared" si="17"/>
        <v>28</v>
      </c>
      <c r="E39" s="39">
        <f ca="1">E38*(1+'Assumptions Sheet'!E28)</f>
        <v>1341981.0353664008</v>
      </c>
      <c r="F39" s="39">
        <f ca="1">F38*(1+'Assumptions Sheet'!F28)</f>
        <v>0</v>
      </c>
      <c r="G39" s="39">
        <f ca="1">G38*(1+'Assumptions Sheet'!G28)</f>
        <v>8864.7326627343773</v>
      </c>
      <c r="H39" s="39">
        <f ca="1">H38*(1+'Assumptions Sheet'!H28)</f>
        <v>0</v>
      </c>
      <c r="I39" s="39"/>
      <c r="J39" s="39"/>
      <c r="K39" s="39"/>
      <c r="L39" s="39"/>
      <c r="M39" s="39"/>
      <c r="N39" s="39">
        <f t="shared" ca="1" si="28"/>
        <v>1350845.7680291352</v>
      </c>
      <c r="O39" s="40"/>
      <c r="P39" s="39"/>
      <c r="Q39" s="39">
        <f t="shared" si="3"/>
        <v>0</v>
      </c>
      <c r="R39" s="39">
        <f ca="1">R38*(1+'Assumptions Sheet'!Q28)</f>
        <v>33602.063788339212</v>
      </c>
      <c r="S39" s="39">
        <f ca="1">S38*(1+'Assumptions Sheet'!P28)</f>
        <v>52653.355320803341</v>
      </c>
      <c r="T39" s="39">
        <f ca="1">T38*('Assumptions Sheet'!Q28+1)</f>
        <v>22401.375858892814</v>
      </c>
      <c r="U39" s="39">
        <f ca="1">U38*('Assumptions Sheet'!S28+1)</f>
        <v>8211.4143024316436</v>
      </c>
      <c r="V39" s="39">
        <f ca="1">V38*(1+'Assumptions Sheet'!Q28)</f>
        <v>44802.751717785628</v>
      </c>
      <c r="W39" s="39">
        <f ca="1">W38*(1+'Assumptions Sheet'!R28)</f>
        <v>28689.265341555158</v>
      </c>
      <c r="X39" s="39">
        <f ca="1">X38*(1+'Assumptions Sheet'!O28)</f>
        <v>132549.82468308002</v>
      </c>
      <c r="Y39" s="39">
        <f t="shared" si="18"/>
        <v>12000</v>
      </c>
      <c r="Z39" s="39">
        <f ca="1">'Assumptions Sheet'!V29</f>
        <v>10000</v>
      </c>
      <c r="AA39" s="41">
        <f t="shared" ca="1" si="5"/>
        <v>344910.05101288785</v>
      </c>
      <c r="AB39" s="40"/>
      <c r="AC39" s="39">
        <f t="shared" ca="1" si="23"/>
        <v>1350845.7680291352</v>
      </c>
      <c r="AD39" s="39">
        <f t="shared" ca="1" si="7"/>
        <v>344910.05101288785</v>
      </c>
      <c r="AE39" s="39">
        <f t="shared" ca="1" si="8"/>
        <v>1005935.7170162473</v>
      </c>
      <c r="AF39" s="39" t="str" cm="1">
        <f t="array" aca="1" ref="AF39" ca="1">_xlfn.IFS(AE39&lt;0,"Withdrawal From Savings A/C",AND(AE39&gt;0,BH38&lt;[1]Details!$V$18),"Transfer to Emergency Fund",AE39&gt;$AG$29,"Investment Possible",AND(AE39&gt;0,BH38&gt;[1]Details!$V$18),"Investment Possible With Bal")</f>
        <v>Investment Possible</v>
      </c>
      <c r="AG39" s="39" cm="1">
        <f t="array" aca="1" ref="AG39" ca="1">_xlfn.IFS(OR(AF39="Withdrawal From Savings A/C",AF39="Transfer to Emergency Fund"),0,AF39= "Investment Possible With Bal",AE39,AF39= "Investment Possible",MAX($AG$29,$AG38*(1+$AH$25)))</f>
        <v>85743.552400000059</v>
      </c>
      <c r="AH39" s="39">
        <f t="shared" ca="1" si="30"/>
        <v>920192.16461624729</v>
      </c>
      <c r="AI39" s="40"/>
      <c r="AJ39" s="38">
        <f>'Calc Engine'!$C39</f>
        <v>28</v>
      </c>
      <c r="AK39" s="39">
        <f t="shared" ca="1" si="9"/>
        <v>85743.552400000059</v>
      </c>
      <c r="AL39" s="39">
        <f t="shared" ca="1" si="20"/>
        <v>543179.07640000025</v>
      </c>
      <c r="AM39" s="40"/>
      <c r="AN39" s="39">
        <f t="shared" ca="1" si="21"/>
        <v>8574.3552400000062</v>
      </c>
      <c r="AO39" s="39">
        <f ca="1">(AN39+AQ38)*(1+'Assumptions Sheet'!AA29)</f>
        <v>97611.761411026964</v>
      </c>
      <c r="AP39" s="39">
        <f>_xlfn.XLOOKUP(AJ39,[1]Details!$L$14:$L$23,[1]Details!$M$14:$M$23,0,0,1)</f>
        <v>0</v>
      </c>
      <c r="AQ39" s="39">
        <f t="shared" ca="1" si="24"/>
        <v>97611.761411026964</v>
      </c>
      <c r="AR39" s="40"/>
      <c r="AS39" s="39">
        <f t="shared" ca="1" si="22"/>
        <v>8574.3552400000062</v>
      </c>
      <c r="AT39" s="39">
        <f ca="1">(AV38+AS39)*(1+'Assumptions Sheet'!AB29)</f>
        <v>107761.61600028443</v>
      </c>
      <c r="AU39" s="39">
        <f>_xlfn.XLOOKUP(AJ39,[1]Details!$L$14:$L$23,[1]Details!$N$14:$N$23,0,0,1)</f>
        <v>209000</v>
      </c>
      <c r="AV39" s="39">
        <f t="shared" ca="1" si="11"/>
        <v>-101238.38399971557</v>
      </c>
      <c r="AW39" s="40"/>
      <c r="AX39" s="39">
        <f t="shared" ca="1" si="12"/>
        <v>68594.84192000005</v>
      </c>
      <c r="AY39" s="39">
        <f ca="1">(AX39+BA38)*(1+'Assumptions Sheet'!AC29)</f>
        <v>1013615.7665556483</v>
      </c>
      <c r="AZ39" s="39">
        <f>_xlfn.XLOOKUP(AJ39,[1]Details!$L$14:$L$23,[1]Details!$O$14:$O$23,0,0,1)</f>
        <v>0</v>
      </c>
      <c r="BA39" s="39">
        <f t="shared" ca="1" si="25"/>
        <v>1013615.7665556483</v>
      </c>
      <c r="BB39" s="40"/>
      <c r="BC39" s="39">
        <f t="shared" ca="1" si="14"/>
        <v>85743.552400000059</v>
      </c>
      <c r="BD39" s="39">
        <f t="shared" ca="1" si="26"/>
        <v>163692.23640000011</v>
      </c>
      <c r="BF39" s="39">
        <f t="shared" ca="1" si="15"/>
        <v>920192.16461624729</v>
      </c>
      <c r="BG39" s="39">
        <f t="shared" ca="1" si="16"/>
        <v>0</v>
      </c>
      <c r="BH39" s="39">
        <f ca="1">(((BF39+BH38)*(1+'Assumptions Sheet'!AE29)))-BI38+BG39</f>
        <v>4114274.3419126207</v>
      </c>
      <c r="BI39" s="39">
        <f ca="1">(IF(BH39&gt;SUM([1]Details!$V$18,[1]Details!$V$19),[1]Details!$V$19,0))</f>
        <v>300000</v>
      </c>
      <c r="BJ39" s="40"/>
      <c r="BK39" s="39">
        <f t="shared" ca="1" si="27"/>
        <v>300000</v>
      </c>
      <c r="BL39" s="39">
        <f ca="1">BK39*(1+'Assumptions Sheet'!AD29)</f>
        <v>315000</v>
      </c>
      <c r="BM39" s="39"/>
      <c r="BN39" s="39">
        <f t="shared" ca="1" si="29"/>
        <v>2604000</v>
      </c>
    </row>
    <row r="40" spans="1:66" ht="14.25" customHeight="1" outlineLevel="1" x14ac:dyDescent="0.3">
      <c r="A40" s="15"/>
      <c r="B40" s="15">
        <v>29</v>
      </c>
      <c r="C40" s="42">
        <f t="shared" si="17"/>
        <v>29</v>
      </c>
      <c r="E40" s="43">
        <f ca="1">E39*(1+'Assumptions Sheet'!E29)</f>
        <v>1476179.1389030411</v>
      </c>
      <c r="F40" s="43">
        <f ca="1">F39*(1+'Assumptions Sheet'!F29)</f>
        <v>0</v>
      </c>
      <c r="G40" s="43">
        <f ca="1">G39*(1+'Assumptions Sheet'!G29)</f>
        <v>9307.9692958710966</v>
      </c>
      <c r="H40" s="43">
        <f ca="1">H39*(1+'Assumptions Sheet'!H29)</f>
        <v>0</v>
      </c>
      <c r="I40" s="43"/>
      <c r="J40" s="43"/>
      <c r="K40" s="43"/>
      <c r="L40" s="43"/>
      <c r="M40" s="43"/>
      <c r="N40" s="43">
        <f t="shared" ca="1" si="28"/>
        <v>1485487.1081989123</v>
      </c>
      <c r="O40" s="40"/>
      <c r="P40" s="43"/>
      <c r="Q40" s="43">
        <f t="shared" si="3"/>
        <v>0</v>
      </c>
      <c r="R40" s="43">
        <f ca="1">R39*(1+'Assumptions Sheet'!Q29)</f>
        <v>36290.228891406354</v>
      </c>
      <c r="S40" s="43">
        <f ca="1">S39*(1+'Assumptions Sheet'!P29)</f>
        <v>54759.489533635475</v>
      </c>
      <c r="T40" s="43">
        <f ca="1">T39*('Assumptions Sheet'!Q29+1)</f>
        <v>24193.485927604241</v>
      </c>
      <c r="U40" s="43">
        <f ca="1">U39*('Assumptions Sheet'!S29+1)</f>
        <v>8539.8708745289096</v>
      </c>
      <c r="V40" s="43">
        <f ca="1">V39*(1+'Assumptions Sheet'!Q29)</f>
        <v>48386.971855208481</v>
      </c>
      <c r="W40" s="43">
        <f ca="1">W39*(1+'Assumptions Sheet'!R29)</f>
        <v>30410.621262048469</v>
      </c>
      <c r="X40" s="43">
        <f ca="1">X39*(1+'Assumptions Sheet'!O29)</f>
        <v>139177.31591723402</v>
      </c>
      <c r="Y40" s="43">
        <f t="shared" si="18"/>
        <v>12000</v>
      </c>
      <c r="Z40" s="43">
        <f ca="1">'Assumptions Sheet'!V30</f>
        <v>10000</v>
      </c>
      <c r="AA40" s="41">
        <f t="shared" ca="1" si="5"/>
        <v>363757.98426166596</v>
      </c>
      <c r="AB40" s="40"/>
      <c r="AC40" s="43">
        <f t="shared" ca="1" si="23"/>
        <v>1485487.1081989123</v>
      </c>
      <c r="AD40" s="43">
        <f t="shared" ca="1" si="7"/>
        <v>363757.98426166596</v>
      </c>
      <c r="AE40" s="39">
        <f t="shared" ca="1" si="8"/>
        <v>1121729.1239372464</v>
      </c>
      <c r="AF40" s="43" t="str" cm="1">
        <f t="array" aca="1" ref="AF40" ca="1">_xlfn.IFS(AE40&lt;0,"Withdrawal From Savings A/C",AND(AE40&gt;0,BH39&lt;[1]Details!$V$18),"Transfer to Emergency Fund",AE40&gt;$AG$29,"Investment Possible",AND(AE40&gt;0,BH39&gt;[1]Details!$V$18),"Investment Possible With Bal")</f>
        <v>Investment Possible</v>
      </c>
      <c r="AG40" s="43" cm="1">
        <f t="array" aca="1" ref="AG40" ca="1">_xlfn.IFS(OR(AF40="Withdrawal From Savings A/C",AF40="Transfer to Emergency Fund"),0,AF40= "Investment Possible With Bal",AE40,AF40= "Investment Possible",MAX($AG$29,$AG39*(1+$AH$25)))</f>
        <v>94317.907640000078</v>
      </c>
      <c r="AH40" s="43">
        <f t="shared" ca="1" si="30"/>
        <v>1027411.2162972463</v>
      </c>
      <c r="AI40" s="40"/>
      <c r="AJ40" s="42">
        <f>'Calc Engine'!$C40</f>
        <v>29</v>
      </c>
      <c r="AK40" s="43">
        <f t="shared" ca="1" si="9"/>
        <v>94317.907640000078</v>
      </c>
      <c r="AL40" s="43">
        <f t="shared" ca="1" si="20"/>
        <v>637496.98404000036</v>
      </c>
      <c r="AM40" s="40"/>
      <c r="AN40" s="43">
        <f t="shared" ca="1" si="21"/>
        <v>9431.7907640000085</v>
      </c>
      <c r="AO40" s="43">
        <f ca="1">(AN40+AQ39)*(1+'Assumptions Sheet'!AA30)</f>
        <v>122029.64947953075</v>
      </c>
      <c r="AP40" s="39">
        <f>_xlfn.XLOOKUP(AJ40,[1]Details!$L$14:$L$23,[1]Details!$M$14:$M$23,0,0,1)</f>
        <v>0</v>
      </c>
      <c r="AQ40" s="43">
        <f t="shared" ca="1" si="24"/>
        <v>122029.64947953075</v>
      </c>
      <c r="AR40" s="40"/>
      <c r="AS40" s="43">
        <f t="shared" ca="1" si="22"/>
        <v>9431.7907640000085</v>
      </c>
      <c r="AT40" s="43">
        <f ca="1">(AV39+AS40)*(1+'Assumptions Sheet'!AB30)</f>
        <v>-106495.64815343005</v>
      </c>
      <c r="AU40" s="39">
        <f>_xlfn.XLOOKUP(AJ40,[1]Details!$L$14:$L$23,[1]Details!$N$14:$N$23,0,0,1)</f>
        <v>0</v>
      </c>
      <c r="AV40" s="43">
        <f t="shared" ca="1" si="11"/>
        <v>-106495.64815343005</v>
      </c>
      <c r="AW40" s="40"/>
      <c r="AX40" s="43">
        <f t="shared" ca="1" si="12"/>
        <v>75454.326112000068</v>
      </c>
      <c r="AY40" s="43">
        <f ca="1">(AX40+BA39)*(1+'Assumptions Sheet'!AC30)</f>
        <v>1306884.111201178</v>
      </c>
      <c r="AZ40" s="39">
        <f>_xlfn.XLOOKUP(AJ40,[1]Details!$L$14:$L$23,[1]Details!$O$14:$O$23,0,0,1)</f>
        <v>0</v>
      </c>
      <c r="BA40" s="43">
        <f t="shared" ca="1" si="25"/>
        <v>1306884.111201178</v>
      </c>
      <c r="BB40" s="40"/>
      <c r="BC40" s="43">
        <f t="shared" ca="1" si="14"/>
        <v>94317.907640000078</v>
      </c>
      <c r="BD40" s="43">
        <f t="shared" ca="1" si="26"/>
        <v>180061.46004000015</v>
      </c>
      <c r="BF40" s="39">
        <f t="shared" ca="1" si="15"/>
        <v>1027411.2162972463</v>
      </c>
      <c r="BG40" s="39">
        <f t="shared" ca="1" si="16"/>
        <v>0</v>
      </c>
      <c r="BH40" s="39">
        <f ca="1">(((BF40+BH39)*(1+'Assumptions Sheet'!AE30)))-BI39+BG40</f>
        <v>4995936.1249561636</v>
      </c>
      <c r="BI40" s="39">
        <f ca="1">(IF(BH40&gt;SUM([1]Details!$V$18,[1]Details!$V$19),[1]Details!$V$19,0))</f>
        <v>300000</v>
      </c>
      <c r="BJ40" s="40"/>
      <c r="BK40" s="43">
        <f t="shared" ca="1" si="27"/>
        <v>300000</v>
      </c>
      <c r="BL40" s="43">
        <f ca="1">BK40*(1+'Assumptions Sheet'!AD30)</f>
        <v>315000</v>
      </c>
      <c r="BM40" s="43"/>
      <c r="BN40" s="39">
        <f t="shared" ca="1" si="29"/>
        <v>2919000</v>
      </c>
    </row>
    <row r="41" spans="1:66" ht="14.25" customHeight="1" outlineLevel="1" x14ac:dyDescent="0.3">
      <c r="A41" s="15"/>
      <c r="B41" s="15">
        <v>30</v>
      </c>
      <c r="C41" s="38">
        <f t="shared" si="17"/>
        <v>30</v>
      </c>
      <c r="E41" s="39">
        <f ca="1">E40*(1+'Assumptions Sheet'!E30)</f>
        <v>1623797.0527933454</v>
      </c>
      <c r="F41" s="39">
        <f ca="1">F40*(1+'Assumptions Sheet'!F30)</f>
        <v>0</v>
      </c>
      <c r="G41" s="39">
        <f ca="1">G40*(1+'Assumptions Sheet'!G30)</f>
        <v>9773.3677606646525</v>
      </c>
      <c r="H41" s="39">
        <f ca="1">H40*(1+'Assumptions Sheet'!H30)</f>
        <v>0</v>
      </c>
      <c r="I41" s="39"/>
      <c r="J41" s="39"/>
      <c r="K41" s="39"/>
      <c r="L41" s="39"/>
      <c r="M41" s="39"/>
      <c r="N41" s="39">
        <f t="shared" ca="1" si="28"/>
        <v>1633570.42055401</v>
      </c>
      <c r="O41" s="40"/>
      <c r="P41" s="39"/>
      <c r="Q41" s="39">
        <f t="shared" si="3"/>
        <v>0</v>
      </c>
      <c r="R41" s="39">
        <f ca="1">R40*(1+'Assumptions Sheet'!Q30)</f>
        <v>39193.447202718868</v>
      </c>
      <c r="S41" s="39">
        <f ca="1">S40*(1+'Assumptions Sheet'!P30)</f>
        <v>56949.869114980895</v>
      </c>
      <c r="T41" s="39">
        <f ca="1">T40*('Assumptions Sheet'!Q30+1)</f>
        <v>26128.964801812581</v>
      </c>
      <c r="U41" s="39">
        <f ca="1">U40*('Assumptions Sheet'!S30+1)</f>
        <v>8881.4657095100665</v>
      </c>
      <c r="V41" s="39">
        <f ca="1">V40*(1+'Assumptions Sheet'!Q30)</f>
        <v>52257.929603625162</v>
      </c>
      <c r="W41" s="39">
        <f ca="1">W40*(1+'Assumptions Sheet'!R30)</f>
        <v>32235.25853777138</v>
      </c>
      <c r="X41" s="39">
        <f ca="1">X40*(1+'Assumptions Sheet'!O30)</f>
        <v>146136.18171309572</v>
      </c>
      <c r="Y41" s="39">
        <f t="shared" si="18"/>
        <v>12000</v>
      </c>
      <c r="Z41" s="39">
        <f ca="1">'Assumptions Sheet'!V31</f>
        <v>15000</v>
      </c>
      <c r="AA41" s="41">
        <f t="shared" ca="1" si="5"/>
        <v>388783.11668351467</v>
      </c>
      <c r="AB41" s="40"/>
      <c r="AC41" s="39">
        <f t="shared" ca="1" si="23"/>
        <v>1633570.42055401</v>
      </c>
      <c r="AD41" s="39">
        <f t="shared" ca="1" si="7"/>
        <v>388783.11668351467</v>
      </c>
      <c r="AE41" s="39">
        <f t="shared" ca="1" si="8"/>
        <v>1244787.3038704954</v>
      </c>
      <c r="AF41" s="39" t="str" cm="1">
        <f t="array" aca="1" ref="AF41" ca="1">_xlfn.IFS(AE41&lt;0,"Withdrawal From Savings A/C",AND(AE41&gt;0,BH40&lt;[1]Details!$V$18),"Transfer to Emergency Fund",AE41&gt;$AG$29,"Investment Possible",AND(AE41&gt;0,BH40&gt;[1]Details!$V$18),"Investment Possible With Bal")</f>
        <v>Investment Possible</v>
      </c>
      <c r="AG41" s="39" cm="1">
        <f t="array" aca="1" ref="AG41" ca="1">_xlfn.IFS(OR(AF41="Withdrawal From Savings A/C",AF41="Transfer to Emergency Fund"),0,AF41= "Investment Possible With Bal",AE41,AF41= "Investment Possible",MAX($AG$29,$AG40*(1+$AH$25)))</f>
        <v>103749.6984040001</v>
      </c>
      <c r="AH41" s="39">
        <f t="shared" ca="1" si="30"/>
        <v>1141037.6054664953</v>
      </c>
      <c r="AI41" s="40"/>
      <c r="AJ41" s="38">
        <f>'Calc Engine'!$C41</f>
        <v>30</v>
      </c>
      <c r="AK41" s="39">
        <f t="shared" ca="1" si="9"/>
        <v>103749.6984040001</v>
      </c>
      <c r="AL41" s="39">
        <f t="shared" ca="1" si="20"/>
        <v>741246.6824440005</v>
      </c>
      <c r="AM41" s="40"/>
      <c r="AN41" s="39">
        <f t="shared" ca="1" si="21"/>
        <v>10374.96984040001</v>
      </c>
      <c r="AO41" s="39">
        <f ca="1">(AN41+AQ40)*(1+'Assumptions Sheet'!AA31)</f>
        <v>148293.17363832248</v>
      </c>
      <c r="AP41" s="39">
        <f>_xlfn.XLOOKUP(AJ41,[1]Details!$L$14:$L$23,[1]Details!$M$14:$M$23,0,0,1)</f>
        <v>0</v>
      </c>
      <c r="AQ41" s="39">
        <f t="shared" ca="1" si="24"/>
        <v>148293.17363832248</v>
      </c>
      <c r="AR41" s="40"/>
      <c r="AS41" s="39">
        <f t="shared" ca="1" si="22"/>
        <v>10374.96984040001</v>
      </c>
      <c r="AT41" s="39">
        <f ca="1">(AV40+AS41)*(1+'Assumptions Sheet'!AB31)</f>
        <v>-109577.57327685427</v>
      </c>
      <c r="AU41" s="39">
        <f>_xlfn.XLOOKUP(AJ41,[1]Details!$L$14:$L$23,[1]Details!$N$14:$N$23,0,0,1)</f>
        <v>0</v>
      </c>
      <c r="AV41" s="39">
        <f t="shared" ca="1" si="11"/>
        <v>-109577.57327685427</v>
      </c>
      <c r="AW41" s="40"/>
      <c r="AX41" s="39">
        <f t="shared" ca="1" si="12"/>
        <v>82999.758723200081</v>
      </c>
      <c r="AY41" s="39">
        <f ca="1">(AX41+BA40)*(1+'Assumptions Sheet'!AC31)</f>
        <v>1612265.2891122785</v>
      </c>
      <c r="AZ41" s="39">
        <f>_xlfn.XLOOKUP(AJ41,[1]Details!$L$14:$L$23,[1]Details!$O$14:$O$23,0,0,1)</f>
        <v>0</v>
      </c>
      <c r="BA41" s="39">
        <f t="shared" ca="1" si="25"/>
        <v>1612265.2891122785</v>
      </c>
      <c r="BB41" s="40"/>
      <c r="BC41" s="39">
        <f t="shared" ca="1" si="14"/>
        <v>103749.6984040001</v>
      </c>
      <c r="BD41" s="39">
        <f t="shared" ca="1" si="26"/>
        <v>198067.60604400019</v>
      </c>
      <c r="BF41" s="39">
        <f t="shared" ca="1" si="15"/>
        <v>1141037.6054664953</v>
      </c>
      <c r="BG41" s="39">
        <f t="shared" ca="1" si="16"/>
        <v>0</v>
      </c>
      <c r="BH41" s="39">
        <f ca="1">(((BF41+BH40)*(1+'Assumptions Sheet'!AE31)))-BI40+BG41</f>
        <v>6021082.9423353383</v>
      </c>
      <c r="BI41" s="39">
        <f ca="1">(IF(BH41&gt;SUM([1]Details!$V$18,[1]Details!$V$19),[1]Details!$V$19,0))</f>
        <v>300000</v>
      </c>
      <c r="BJ41" s="40"/>
      <c r="BK41" s="39">
        <f t="shared" ca="1" si="27"/>
        <v>300000</v>
      </c>
      <c r="BL41" s="39">
        <f ca="1">BK41*(1+'Assumptions Sheet'!AD31)</f>
        <v>315000</v>
      </c>
      <c r="BM41" s="39"/>
      <c r="BN41" s="39">
        <f t="shared" ca="1" si="29"/>
        <v>3234000</v>
      </c>
    </row>
    <row r="42" spans="1:66" ht="14.25" customHeight="1" outlineLevel="1" x14ac:dyDescent="0.3">
      <c r="A42" s="15"/>
      <c r="B42" s="15">
        <v>31</v>
      </c>
      <c r="C42" s="42">
        <f t="shared" si="17"/>
        <v>31</v>
      </c>
      <c r="E42" s="43">
        <f ca="1">E41*(1+'Assumptions Sheet'!E31)</f>
        <v>1737462.8464888798</v>
      </c>
      <c r="F42" s="43">
        <f ca="1">F41*(1+'Assumptions Sheet'!F31)</f>
        <v>0</v>
      </c>
      <c r="G42" s="43">
        <f ca="1">G41*(1+'Assumptions Sheet'!G31)</f>
        <v>10262.036148697885</v>
      </c>
      <c r="H42" s="43">
        <f ca="1">H41*(1+'Assumptions Sheet'!H31)</f>
        <v>0</v>
      </c>
      <c r="I42" s="43"/>
      <c r="J42" s="43"/>
      <c r="K42" s="43"/>
      <c r="L42" s="43"/>
      <c r="M42" s="43"/>
      <c r="N42" s="43">
        <f t="shared" ca="1" si="28"/>
        <v>1747724.8826375776</v>
      </c>
      <c r="O42" s="40"/>
      <c r="P42" s="43"/>
      <c r="Q42" s="43">
        <f t="shared" si="3"/>
        <v>0</v>
      </c>
      <c r="R42" s="43">
        <f ca="1">R41*(1+'Assumptions Sheet'!Q31)</f>
        <v>41153.119562854816</v>
      </c>
      <c r="S42" s="43">
        <f ca="1">S41*(1+'Assumptions Sheet'!P31)</f>
        <v>59797.362570729943</v>
      </c>
      <c r="T42" s="43">
        <f ca="1">T41*('Assumptions Sheet'!Q31+1)</f>
        <v>27435.413041903212</v>
      </c>
      <c r="U42" s="43">
        <f ca="1">U41*('Assumptions Sheet'!S31+1)</f>
        <v>9236.7243378904695</v>
      </c>
      <c r="V42" s="43">
        <f ca="1">V41*(1+'Assumptions Sheet'!Q31)</f>
        <v>54870.826083806423</v>
      </c>
      <c r="W42" s="43">
        <f ca="1">W41*(1+'Assumptions Sheet'!R31)</f>
        <v>34169.374050037666</v>
      </c>
      <c r="X42" s="43">
        <f ca="1">X41*(1+'Assumptions Sheet'!O31)</f>
        <v>154904.35261588148</v>
      </c>
      <c r="Y42" s="43">
        <f t="shared" si="18"/>
        <v>12000</v>
      </c>
      <c r="Z42" s="43">
        <f ca="1">'Assumptions Sheet'!V32</f>
        <v>10000</v>
      </c>
      <c r="AA42" s="41">
        <f t="shared" ca="1" si="5"/>
        <v>403567.172263104</v>
      </c>
      <c r="AB42" s="40"/>
      <c r="AC42" s="43">
        <f t="shared" ca="1" si="23"/>
        <v>1747724.8826375776</v>
      </c>
      <c r="AD42" s="43">
        <f t="shared" ca="1" si="7"/>
        <v>403567.172263104</v>
      </c>
      <c r="AE42" s="39">
        <f t="shared" ca="1" si="8"/>
        <v>1344157.7103744736</v>
      </c>
      <c r="AF42" s="43" t="str" cm="1">
        <f t="array" aca="1" ref="AF42" ca="1">_xlfn.IFS(AE42&lt;0,"Withdrawal From Savings A/C",AND(AE42&gt;0,BH41&lt;[1]Details!$V$18),"Transfer to Emergency Fund",AE42&gt;$AG$29,"Investment Possible",AND(AE42&gt;0,BH41&gt;[1]Details!$V$18),"Investment Possible With Bal")</f>
        <v>Investment Possible</v>
      </c>
      <c r="AG42" s="43" cm="1">
        <f t="array" aca="1" ref="AG42" ca="1">_xlfn.IFS(OR(AF42="Withdrawal From Savings A/C",AF42="Transfer to Emergency Fund"),0,AF42= "Investment Possible With Bal",AE42,AF42= "Investment Possible",MAX($AG$29,$AG41*(1+$AH$25)))</f>
        <v>114124.66824440012</v>
      </c>
      <c r="AH42" s="43">
        <f t="shared" ca="1" si="30"/>
        <v>1230033.0421300735</v>
      </c>
      <c r="AI42" s="40"/>
      <c r="AJ42" s="42">
        <f>'Calc Engine'!$C42</f>
        <v>31</v>
      </c>
      <c r="AK42" s="43">
        <f t="shared" ca="1" si="9"/>
        <v>114124.66824440012</v>
      </c>
      <c r="AL42" s="43">
        <f t="shared" ca="1" si="20"/>
        <v>855371.35068840068</v>
      </c>
      <c r="AM42" s="40"/>
      <c r="AN42" s="43">
        <f t="shared" ca="1" si="21"/>
        <v>11412.466824440013</v>
      </c>
      <c r="AO42" s="43">
        <f ca="1">(AN42+AQ41)*(1+'Assumptions Sheet'!AA32)</f>
        <v>182064.43012754928</v>
      </c>
      <c r="AP42" s="39">
        <f>_xlfn.XLOOKUP(AJ42,[1]Details!$L$14:$L$23,[1]Details!$M$14:$M$23,0,0,1)</f>
        <v>0</v>
      </c>
      <c r="AQ42" s="43">
        <f t="shared" ca="1" si="24"/>
        <v>182064.43012754928</v>
      </c>
      <c r="AR42" s="40"/>
      <c r="AS42" s="43">
        <f t="shared" ca="1" si="22"/>
        <v>11412.466824440013</v>
      </c>
      <c r="AT42" s="43">
        <f ca="1">(AV41+AS42)*(1+'Assumptions Sheet'!AB32)</f>
        <v>-113871.52348480053</v>
      </c>
      <c r="AU42" s="39">
        <f>_xlfn.XLOOKUP(AJ42,[1]Details!$L$14:$L$23,[1]Details!$N$14:$N$23,0,0,1)</f>
        <v>0</v>
      </c>
      <c r="AV42" s="43">
        <f t="shared" ca="1" si="11"/>
        <v>-113871.52348480053</v>
      </c>
      <c r="AW42" s="40"/>
      <c r="AX42" s="43">
        <f t="shared" ca="1" si="12"/>
        <v>91299.734595520102</v>
      </c>
      <c r="AY42" s="43">
        <f ca="1">(AX42+BA41)*(1+'Assumptions Sheet'!AC32)</f>
        <v>2044278.0284493584</v>
      </c>
      <c r="AZ42" s="39">
        <f>_xlfn.XLOOKUP(AJ42,[1]Details!$L$14:$L$23,[1]Details!$O$14:$O$23,0,0,1)</f>
        <v>0</v>
      </c>
      <c r="BA42" s="43">
        <f t="shared" ca="1" si="25"/>
        <v>2044278.0284493584</v>
      </c>
      <c r="BB42" s="40"/>
      <c r="BC42" s="43">
        <f t="shared" ca="1" si="14"/>
        <v>114124.66824440012</v>
      </c>
      <c r="BD42" s="43">
        <f t="shared" ca="1" si="26"/>
        <v>217874.3666484002</v>
      </c>
      <c r="BF42" s="39">
        <f t="shared" ca="1" si="15"/>
        <v>1230033.0421300735</v>
      </c>
      <c r="BG42" s="39">
        <f t="shared" ca="1" si="16"/>
        <v>0</v>
      </c>
      <c r="BH42" s="39">
        <f ca="1">(((BF42+BH41)*(1+'Assumptions Sheet'!AE32)))-BI41+BG42</f>
        <v>7168649.4639993748</v>
      </c>
      <c r="BI42" s="39">
        <f ca="1">(IF(BH42&gt;SUM([1]Details!$V$18,[1]Details!$V$19),[1]Details!$V$19,0))</f>
        <v>300000</v>
      </c>
      <c r="BJ42" s="40"/>
      <c r="BK42" s="43">
        <f t="shared" ca="1" si="27"/>
        <v>300000</v>
      </c>
      <c r="BL42" s="43">
        <f ca="1">BK42*(1+'Assumptions Sheet'!AD32)</f>
        <v>315000</v>
      </c>
      <c r="BM42" s="43"/>
      <c r="BN42" s="39">
        <f t="shared" ca="1" si="29"/>
        <v>3549000</v>
      </c>
    </row>
    <row r="43" spans="1:66" ht="14.25" customHeight="1" outlineLevel="1" x14ac:dyDescent="0.3">
      <c r="A43" s="15"/>
      <c r="B43" s="15">
        <v>32</v>
      </c>
      <c r="C43" s="38">
        <f t="shared" si="17"/>
        <v>32</v>
      </c>
      <c r="E43" s="39">
        <f ca="1">E42*(1+'Assumptions Sheet'!E32)</f>
        <v>1911209.1311377678</v>
      </c>
      <c r="F43" s="39">
        <f ca="1">F42*(1+'Assumptions Sheet'!F32)</f>
        <v>0</v>
      </c>
      <c r="G43" s="39">
        <f ca="1">G42*(1+'Assumptions Sheet'!G32)</f>
        <v>10775.137956132779</v>
      </c>
      <c r="H43" s="39">
        <f ca="1">H42*(1+'Assumptions Sheet'!H32)</f>
        <v>0</v>
      </c>
      <c r="I43" s="39"/>
      <c r="J43" s="39"/>
      <c r="K43" s="39"/>
      <c r="L43" s="39"/>
      <c r="M43" s="39"/>
      <c r="N43" s="39">
        <f t="shared" ca="1" si="28"/>
        <v>1921984.2690939007</v>
      </c>
      <c r="O43" s="40"/>
      <c r="P43" s="39"/>
      <c r="Q43" s="39">
        <f t="shared" si="3"/>
        <v>0</v>
      </c>
      <c r="R43" s="39">
        <f ca="1">R42*(1+'Assumptions Sheet'!Q32)</f>
        <v>44445.369127883205</v>
      </c>
      <c r="S43" s="39">
        <f ca="1">S42*(1+'Assumptions Sheet'!P32)</f>
        <v>62189.257073559143</v>
      </c>
      <c r="T43" s="39">
        <f ca="1">T42*('Assumptions Sheet'!Q32+1)</f>
        <v>29630.246085255472</v>
      </c>
      <c r="U43" s="39">
        <f ca="1">U42*('Assumptions Sheet'!S32+1)</f>
        <v>9606.1933114060885</v>
      </c>
      <c r="V43" s="39">
        <f ca="1">V42*(1+'Assumptions Sheet'!Q32)</f>
        <v>59260.492170510945</v>
      </c>
      <c r="W43" s="39">
        <f ca="1">W42*(1+'Assumptions Sheet'!R32)</f>
        <v>36219.53649303993</v>
      </c>
      <c r="X43" s="39">
        <f ca="1">X42*(1+'Assumptions Sheet'!O32)</f>
        <v>162649.57024667555</v>
      </c>
      <c r="Y43" s="39">
        <f t="shared" si="18"/>
        <v>12000</v>
      </c>
      <c r="Z43" s="39">
        <f ca="1">'Assumptions Sheet'!V33</f>
        <v>10000</v>
      </c>
      <c r="AA43" s="41">
        <f t="shared" ca="1" si="5"/>
        <v>426000.66450833029</v>
      </c>
      <c r="AB43" s="40"/>
      <c r="AC43" s="39">
        <f t="shared" ca="1" si="23"/>
        <v>1921984.2690939007</v>
      </c>
      <c r="AD43" s="39">
        <f t="shared" ca="1" si="7"/>
        <v>426000.66450833029</v>
      </c>
      <c r="AE43" s="39">
        <f t="shared" ca="1" si="8"/>
        <v>1495983.6045855703</v>
      </c>
      <c r="AF43" s="39" t="str" cm="1">
        <f t="array" aca="1" ref="AF43" ca="1">_xlfn.IFS(AE43&lt;0,"Withdrawal From Savings A/C",AND(AE43&gt;0,BH42&lt;[1]Details!$V$18),"Transfer to Emergency Fund",AE43&gt;$AG$29,"Investment Possible",AND(AE43&gt;0,BH42&gt;[1]Details!$V$18),"Investment Possible With Bal")</f>
        <v>Investment Possible</v>
      </c>
      <c r="AG43" s="39" cm="1">
        <f t="array" aca="1" ref="AG43" ca="1">_xlfn.IFS(OR(AF43="Withdrawal From Savings A/C",AF43="Transfer to Emergency Fund"),0,AF43= "Investment Possible With Bal",AE43,AF43= "Investment Possible",MAX($AG$29,$AG42*(1+$AH$25)))</f>
        <v>125537.13506884014</v>
      </c>
      <c r="AH43" s="39">
        <f t="shared" ca="1" si="30"/>
        <v>1370446.4695167302</v>
      </c>
      <c r="AI43" s="40"/>
      <c r="AJ43" s="38">
        <f>'Calc Engine'!$C43</f>
        <v>32</v>
      </c>
      <c r="AK43" s="39">
        <f t="shared" ca="1" si="9"/>
        <v>125537.13506884014</v>
      </c>
      <c r="AL43" s="39">
        <f t="shared" ca="1" si="20"/>
        <v>980908.48575724079</v>
      </c>
      <c r="AM43" s="40"/>
      <c r="AN43" s="39">
        <f t="shared" ca="1" si="21"/>
        <v>12553.713506884014</v>
      </c>
      <c r="AO43" s="39">
        <f ca="1">(AN43+AQ42)*(1+'Assumptions Sheet'!AA33)</f>
        <v>221864.68374325396</v>
      </c>
      <c r="AP43" s="39">
        <f>_xlfn.XLOOKUP(AJ43,[1]Details!$L$14:$L$23,[1]Details!$M$14:$M$23,0,0,1)</f>
        <v>660000</v>
      </c>
      <c r="AQ43" s="39">
        <f t="shared" ca="1" si="24"/>
        <v>-438135.31625674607</v>
      </c>
      <c r="AR43" s="40"/>
      <c r="AS43" s="39">
        <f t="shared" ca="1" si="22"/>
        <v>12553.713506884014</v>
      </c>
      <c r="AT43" s="39">
        <f ca="1">(AV42+AS43)*(1+'Assumptions Sheet'!AB33)</f>
        <v>-117528.65957438316</v>
      </c>
      <c r="AU43" s="39">
        <f>_xlfn.XLOOKUP(AJ43,[1]Details!$L$14:$L$23,[1]Details!$N$14:$N$23,0,0,1)</f>
        <v>0</v>
      </c>
      <c r="AV43" s="39">
        <f t="shared" ca="1" si="11"/>
        <v>-117528.65957438316</v>
      </c>
      <c r="AW43" s="40"/>
      <c r="AX43" s="39">
        <f t="shared" ca="1" si="12"/>
        <v>100429.70805507211</v>
      </c>
      <c r="AY43" s="39">
        <f ca="1">(AX43+BA42)*(1+'Assumptions Sheet'!AC33)</f>
        <v>2573649.2838053163</v>
      </c>
      <c r="AZ43" s="39">
        <f>_xlfn.XLOOKUP(AJ43,[1]Details!$L$14:$L$23,[1]Details!$O$14:$O$23,0,0,1)</f>
        <v>0</v>
      </c>
      <c r="BA43" s="39">
        <f t="shared" ca="1" si="25"/>
        <v>2573649.2838053163</v>
      </c>
      <c r="BB43" s="40"/>
      <c r="BC43" s="39">
        <f t="shared" ca="1" si="14"/>
        <v>125537.13506884014</v>
      </c>
      <c r="BD43" s="39">
        <f t="shared" ca="1" si="26"/>
        <v>239661.80331324026</v>
      </c>
      <c r="BF43" s="39">
        <f t="shared" ca="1" si="15"/>
        <v>1370446.4695167302</v>
      </c>
      <c r="BG43" s="39">
        <f t="shared" ca="1" si="16"/>
        <v>0</v>
      </c>
      <c r="BH43" s="39">
        <f ca="1">(((BF43+BH42)*(1+'Assumptions Sheet'!AE33)))-BI42+BG43</f>
        <v>8495268.8115215898</v>
      </c>
      <c r="BI43" s="39">
        <f ca="1">(IF(BH43&gt;SUM([1]Details!$V$18,[1]Details!$V$19),[1]Details!$V$19,0))</f>
        <v>300000</v>
      </c>
      <c r="BJ43" s="40"/>
      <c r="BK43" s="39">
        <f t="shared" ca="1" si="27"/>
        <v>300000</v>
      </c>
      <c r="BL43" s="39">
        <f ca="1">BK43*(1+'Assumptions Sheet'!AD33)</f>
        <v>315000</v>
      </c>
      <c r="BM43" s="39"/>
      <c r="BN43" s="39">
        <f t="shared" ca="1" si="29"/>
        <v>3864000</v>
      </c>
    </row>
    <row r="44" spans="1:66" ht="14.25" customHeight="1" outlineLevel="1" x14ac:dyDescent="0.3">
      <c r="A44" s="15"/>
      <c r="B44" s="15">
        <v>33</v>
      </c>
      <c r="C44" s="42">
        <f t="shared" si="17"/>
        <v>33</v>
      </c>
      <c r="E44" s="43">
        <f ca="1">E43*(1+'Assumptions Sheet'!E33)</f>
        <v>2102330.0442515449</v>
      </c>
      <c r="F44" s="43">
        <f ca="1">F43*(1+'Assumptions Sheet'!F33)</f>
        <v>0</v>
      </c>
      <c r="G44" s="43">
        <f ca="1">G43*(1+'Assumptions Sheet'!G33)</f>
        <v>11313.894853939419</v>
      </c>
      <c r="H44" s="43">
        <f ca="1">H43*(1+'Assumptions Sheet'!H33)</f>
        <v>0</v>
      </c>
      <c r="I44" s="43"/>
      <c r="J44" s="43"/>
      <c r="K44" s="43"/>
      <c r="L44" s="43"/>
      <c r="M44" s="43"/>
      <c r="N44" s="43">
        <f t="shared" ca="1" si="28"/>
        <v>2113643.9391054842</v>
      </c>
      <c r="O44" s="40"/>
      <c r="P44" s="43"/>
      <c r="Q44" s="43">
        <f t="shared" si="3"/>
        <v>0</v>
      </c>
      <c r="R44" s="43">
        <f ca="1">R43*(1+'Assumptions Sheet'!Q33)</f>
        <v>48000.998658113866</v>
      </c>
      <c r="S44" s="43">
        <f ca="1">S43*(1+'Assumptions Sheet'!P33)</f>
        <v>64676.827356501512</v>
      </c>
      <c r="T44" s="43">
        <f ca="1">T43*('Assumptions Sheet'!Q33+1)</f>
        <v>32000.66577207591</v>
      </c>
      <c r="U44" s="43">
        <f ca="1">U43*('Assumptions Sheet'!S33+1)</f>
        <v>9990.4410438623327</v>
      </c>
      <c r="V44" s="43">
        <f ca="1">V43*(1+'Assumptions Sheet'!Q33)</f>
        <v>64001.331544151821</v>
      </c>
      <c r="W44" s="43">
        <f ca="1">W43*(1+'Assumptions Sheet'!R33)</f>
        <v>38392.708682622331</v>
      </c>
      <c r="X44" s="43">
        <f ca="1">X43*(1+'Assumptions Sheet'!O33)</f>
        <v>170782.04875900934</v>
      </c>
      <c r="Y44" s="43">
        <f t="shared" si="18"/>
        <v>12000</v>
      </c>
      <c r="Z44" s="43">
        <f ca="1">'Assumptions Sheet'!V34</f>
        <v>10000</v>
      </c>
      <c r="AA44" s="41">
        <f t="shared" ca="1" si="5"/>
        <v>449845.02181633713</v>
      </c>
      <c r="AB44" s="40"/>
      <c r="AC44" s="43">
        <f t="shared" ca="1" si="23"/>
        <v>2113643.9391054842</v>
      </c>
      <c r="AD44" s="43">
        <f t="shared" ca="1" si="7"/>
        <v>449845.02181633713</v>
      </c>
      <c r="AE44" s="39">
        <f t="shared" ca="1" si="8"/>
        <v>1663798.9172891472</v>
      </c>
      <c r="AF44" s="43" t="str" cm="1">
        <f t="array" aca="1" ref="AF44" ca="1">_xlfn.IFS(AE44&lt;0,"Withdrawal From Savings A/C",AND(AE44&gt;0,BH43&lt;[1]Details!$V$18),"Transfer to Emergency Fund",AE44&gt;$AG$29,"Investment Possible",AND(AE44&gt;0,BH43&gt;[1]Details!$V$18),"Investment Possible With Bal")</f>
        <v>Investment Possible</v>
      </c>
      <c r="AG44" s="43" cm="1">
        <f t="array" aca="1" ref="AG44" ca="1">_xlfn.IFS(OR(AF44="Withdrawal From Savings A/C",AF44="Transfer to Emergency Fund"),0,AF44= "Investment Possible With Bal",AE44,AF44= "Investment Possible",MAX($AG$29,$AG43*(1+$AH$25)))</f>
        <v>138090.84857572417</v>
      </c>
      <c r="AH44" s="43">
        <f t="shared" ca="1" si="30"/>
        <v>1525708.0687134229</v>
      </c>
      <c r="AI44" s="40"/>
      <c r="AJ44" s="42">
        <f>'Calc Engine'!$C44</f>
        <v>33</v>
      </c>
      <c r="AK44" s="43">
        <f t="shared" ca="1" si="9"/>
        <v>138090.84857572417</v>
      </c>
      <c r="AL44" s="43">
        <f t="shared" ca="1" si="20"/>
        <v>1118999.3343329648</v>
      </c>
      <c r="AM44" s="40"/>
      <c r="AN44" s="43">
        <f t="shared" ca="1" si="21"/>
        <v>13809.084857572418</v>
      </c>
      <c r="AO44" s="43">
        <f ca="1">(AN44+AQ43)*(1+'Assumptions Sheet'!AA34)</f>
        <v>-483731.90379505802</v>
      </c>
      <c r="AP44" s="39">
        <f>_xlfn.XLOOKUP(AJ44,[1]Details!$L$14:$L$23,[1]Details!$M$14:$M$23,0,0,1)</f>
        <v>0</v>
      </c>
      <c r="AQ44" s="43">
        <f t="shared" ca="1" si="24"/>
        <v>-483731.90379505802</v>
      </c>
      <c r="AR44" s="40"/>
      <c r="AS44" s="43">
        <f t="shared" ca="1" si="22"/>
        <v>13809.084857572418</v>
      </c>
      <c r="AT44" s="43">
        <f ca="1">(AV43+AS44)*(1+'Assumptions Sheet'!AB34)</f>
        <v>-120314.70667150045</v>
      </c>
      <c r="AU44" s="39">
        <f>_xlfn.XLOOKUP(AJ44,[1]Details!$L$14:$L$23,[1]Details!$N$14:$N$23,0,0,1)</f>
        <v>0</v>
      </c>
      <c r="AV44" s="43">
        <f t="shared" ca="1" si="11"/>
        <v>-120314.70667150045</v>
      </c>
      <c r="AW44" s="40"/>
      <c r="AX44" s="43">
        <f t="shared" ca="1" si="12"/>
        <v>110472.67886057934</v>
      </c>
      <c r="AY44" s="43">
        <f ca="1">(AX44+BA43)*(1+'Assumptions Sheet'!AC34)</f>
        <v>3220946.3551990744</v>
      </c>
      <c r="AZ44" s="39">
        <f>_xlfn.XLOOKUP(AJ44,[1]Details!$L$14:$L$23,[1]Details!$O$14:$O$23,0,0,1)</f>
        <v>0</v>
      </c>
      <c r="BA44" s="43">
        <f t="shared" ca="1" si="25"/>
        <v>3220946.3551990744</v>
      </c>
      <c r="BB44" s="40"/>
      <c r="BC44" s="43">
        <f t="shared" ca="1" si="14"/>
        <v>138090.84857572417</v>
      </c>
      <c r="BD44" s="43">
        <f t="shared" ca="1" si="26"/>
        <v>263627.98364456429</v>
      </c>
      <c r="BF44" s="39">
        <f t="shared" ca="1" si="15"/>
        <v>1525708.0687134229</v>
      </c>
      <c r="BG44" s="39">
        <f t="shared" ca="1" si="16"/>
        <v>0</v>
      </c>
      <c r="BH44" s="39">
        <f ca="1">(((BF44+BH43)*(1+'Assumptions Sheet'!AE34)))-BI43+BG44</f>
        <v>10021606.186642064</v>
      </c>
      <c r="BI44" s="39">
        <f ca="1">(IF(BH44&gt;SUM([1]Details!$V$18,[1]Details!$V$19),[1]Details!$V$19,0))</f>
        <v>300000</v>
      </c>
      <c r="BJ44" s="40"/>
      <c r="BK44" s="43">
        <f t="shared" ca="1" si="27"/>
        <v>300000</v>
      </c>
      <c r="BL44" s="43">
        <f ca="1">BK44*(1+'Assumptions Sheet'!AD34)</f>
        <v>315000</v>
      </c>
      <c r="BM44" s="43"/>
      <c r="BN44" s="39">
        <f t="shared" ca="1" si="29"/>
        <v>4179000</v>
      </c>
    </row>
    <row r="45" spans="1:66" ht="14.25" customHeight="1" outlineLevel="1" x14ac:dyDescent="0.3">
      <c r="A45" s="15"/>
      <c r="B45" s="15">
        <v>34</v>
      </c>
      <c r="C45" s="38">
        <f t="shared" si="17"/>
        <v>34</v>
      </c>
      <c r="E45" s="39">
        <f ca="1">E44*(1+'Assumptions Sheet'!E34)</f>
        <v>2312563.0486766994</v>
      </c>
      <c r="F45" s="39">
        <f ca="1">F44*(1+'Assumptions Sheet'!F34)</f>
        <v>0</v>
      </c>
      <c r="G45" s="39">
        <f ca="1">G44*(1+'Assumptions Sheet'!G34)</f>
        <v>11879.58959663639</v>
      </c>
      <c r="H45" s="39">
        <f ca="1">H44*(1+'Assumptions Sheet'!H34)</f>
        <v>0</v>
      </c>
      <c r="I45" s="39"/>
      <c r="J45" s="39"/>
      <c r="K45" s="39"/>
      <c r="L45" s="39"/>
      <c r="M45" s="39"/>
      <c r="N45" s="39">
        <f t="shared" ca="1" si="28"/>
        <v>2324442.638273336</v>
      </c>
      <c r="O45" s="40"/>
      <c r="P45" s="39"/>
      <c r="Q45" s="39">
        <f t="shared" si="3"/>
        <v>0</v>
      </c>
      <c r="R45" s="39">
        <f ca="1">R44*(1+'Assumptions Sheet'!Q34)</f>
        <v>51841.078550762977</v>
      </c>
      <c r="S45" s="39">
        <f ca="1">S44*(1+'Assumptions Sheet'!P34)</f>
        <v>67263.900450761575</v>
      </c>
      <c r="T45" s="39">
        <f ca="1">T44*('Assumptions Sheet'!Q34+1)</f>
        <v>34560.719033841982</v>
      </c>
      <c r="U45" s="39">
        <f ca="1">U44*('Assumptions Sheet'!S34+1)</f>
        <v>10390.058685616827</v>
      </c>
      <c r="V45" s="39">
        <f ca="1">V44*(1+'Assumptions Sheet'!Q34)</f>
        <v>69121.438067683965</v>
      </c>
      <c r="W45" s="39">
        <f ca="1">W44*(1+'Assumptions Sheet'!R34)</f>
        <v>40696.271203579672</v>
      </c>
      <c r="X45" s="39">
        <f ca="1">X44*(1+'Assumptions Sheet'!O34)</f>
        <v>179321.15119695981</v>
      </c>
      <c r="Y45" s="39">
        <f t="shared" si="18"/>
        <v>12000</v>
      </c>
      <c r="Z45" s="39">
        <f ca="1">'Assumptions Sheet'!V35</f>
        <v>30000</v>
      </c>
      <c r="AA45" s="41">
        <f t="shared" ca="1" si="5"/>
        <v>495194.61718920677</v>
      </c>
      <c r="AB45" s="40"/>
      <c r="AC45" s="39">
        <f t="shared" ca="1" si="23"/>
        <v>2324442.638273336</v>
      </c>
      <c r="AD45" s="39">
        <f t="shared" ca="1" si="7"/>
        <v>495194.61718920677</v>
      </c>
      <c r="AE45" s="39">
        <f t="shared" ca="1" si="8"/>
        <v>1829248.0210841293</v>
      </c>
      <c r="AF45" s="39" t="str" cm="1">
        <f t="array" aca="1" ref="AF45" ca="1">_xlfn.IFS(AE45&lt;0,"Withdrawal From Savings A/C",AND(AE45&gt;0,BH44&lt;[1]Details!$V$18),"Transfer to Emergency Fund",AE45&gt;$AG$29,"Investment Possible",AND(AE45&gt;0,BH44&gt;[1]Details!$V$18),"Investment Possible With Bal")</f>
        <v>Investment Possible</v>
      </c>
      <c r="AG45" s="39" cm="1">
        <f t="array" aca="1" ref="AG45" ca="1">_xlfn.IFS(OR(AF45="Withdrawal From Savings A/C",AF45="Transfer to Emergency Fund"),0,AF45= "Investment Possible With Bal",AE45,AF45= "Investment Possible",MAX($AG$29,$AG44*(1+$AH$25)))</f>
        <v>151899.9334332966</v>
      </c>
      <c r="AH45" s="39">
        <f t="shared" ca="1" si="30"/>
        <v>1677348.0876508327</v>
      </c>
      <c r="AI45" s="40"/>
      <c r="AJ45" s="38">
        <f>'Calc Engine'!$C45</f>
        <v>34</v>
      </c>
      <c r="AK45" s="39">
        <f t="shared" ca="1" si="9"/>
        <v>151899.9334332966</v>
      </c>
      <c r="AL45" s="39">
        <f t="shared" ca="1" si="20"/>
        <v>1270899.2677662615</v>
      </c>
      <c r="AM45" s="40"/>
      <c r="AN45" s="39">
        <f t="shared" ca="1" si="21"/>
        <v>15189.993343329661</v>
      </c>
      <c r="AO45" s="39">
        <f ca="1">(AN45+AQ44)*(1+'Assumptions Sheet'!AA35)</f>
        <v>-510710.68239238398</v>
      </c>
      <c r="AP45" s="39">
        <f>_xlfn.XLOOKUP(AJ45,[1]Details!$L$14:$L$23,[1]Details!$M$14:$M$23,0,0,1)</f>
        <v>0</v>
      </c>
      <c r="AQ45" s="39">
        <f t="shared" ca="1" si="24"/>
        <v>-510710.68239238398</v>
      </c>
      <c r="AR45" s="40"/>
      <c r="AS45" s="39">
        <f t="shared" ca="1" si="22"/>
        <v>15189.993343329661</v>
      </c>
      <c r="AT45" s="39">
        <f ca="1">(AV44+AS45)*(1+'Assumptions Sheet'!AB35)</f>
        <v>-117739.6789275513</v>
      </c>
      <c r="AU45" s="39">
        <f>_xlfn.XLOOKUP(AJ45,[1]Details!$L$14:$L$23,[1]Details!$N$14:$N$23,0,0,1)</f>
        <v>0</v>
      </c>
      <c r="AV45" s="39">
        <f t="shared" ca="1" si="11"/>
        <v>-117739.6789275513</v>
      </c>
      <c r="AW45" s="40"/>
      <c r="AX45" s="39">
        <f t="shared" ca="1" si="12"/>
        <v>121519.94674663729</v>
      </c>
      <c r="AY45" s="39">
        <f ca="1">(AX45+BA44)*(1+'Assumptions Sheet'!AC35)</f>
        <v>3810411.5842181114</v>
      </c>
      <c r="AZ45" s="39">
        <f>_xlfn.XLOOKUP(AJ45,[1]Details!$L$14:$L$23,[1]Details!$O$14:$O$23,0,0,1)</f>
        <v>0</v>
      </c>
      <c r="BA45" s="39">
        <f t="shared" ca="1" si="25"/>
        <v>3810411.5842181114</v>
      </c>
      <c r="BB45" s="40"/>
      <c r="BC45" s="39">
        <f t="shared" ca="1" si="14"/>
        <v>151899.93343329662</v>
      </c>
      <c r="BD45" s="39">
        <f t="shared" ca="1" si="26"/>
        <v>289990.7820090208</v>
      </c>
      <c r="BF45" s="39">
        <f t="shared" ca="1" si="15"/>
        <v>1677348.0876508327</v>
      </c>
      <c r="BG45" s="39">
        <f t="shared" ca="1" si="16"/>
        <v>0</v>
      </c>
      <c r="BH45" s="39">
        <f ca="1">(((BF45+BH44)*(1+'Assumptions Sheet'!AE35)))-BI44+BG45</f>
        <v>11749922.902521685</v>
      </c>
      <c r="BI45" s="39">
        <f ca="1">(IF(BH45&gt;SUM([1]Details!$V$18,[1]Details!$V$19),[1]Details!$V$19,0))</f>
        <v>300000</v>
      </c>
      <c r="BJ45" s="40"/>
      <c r="BK45" s="39">
        <f t="shared" ca="1" si="27"/>
        <v>300000</v>
      </c>
      <c r="BL45" s="39">
        <f ca="1">BK45*(1+'Assumptions Sheet'!AD35)</f>
        <v>315000</v>
      </c>
      <c r="BM45" s="39"/>
      <c r="BN45" s="39">
        <f t="shared" ca="1" si="29"/>
        <v>4494000</v>
      </c>
    </row>
    <row r="46" spans="1:66" ht="14.25" customHeight="1" outlineLevel="1" x14ac:dyDescent="0.3">
      <c r="A46" s="15"/>
      <c r="B46" s="15">
        <v>35</v>
      </c>
      <c r="C46" s="42">
        <f t="shared" si="17"/>
        <v>35</v>
      </c>
      <c r="E46" s="43">
        <f ca="1">E45*(1+'Assumptions Sheet'!E35)</f>
        <v>2405065.5706237676</v>
      </c>
      <c r="F46" s="43">
        <f ca="1">F45*(1+'Assumptions Sheet'!F35)</f>
        <v>0</v>
      </c>
      <c r="G46" s="43">
        <f ca="1">G45*(1+'Assumptions Sheet'!G35)</f>
        <v>12473.569076468209</v>
      </c>
      <c r="H46" s="43">
        <f ca="1">H45*(1+'Assumptions Sheet'!H35)</f>
        <v>0</v>
      </c>
      <c r="I46" s="43"/>
      <c r="J46" s="43"/>
      <c r="K46" s="43"/>
      <c r="L46" s="43"/>
      <c r="M46" s="43"/>
      <c r="N46" s="43">
        <f t="shared" ca="1" si="28"/>
        <v>2417539.1397002358</v>
      </c>
      <c r="O46" s="40"/>
      <c r="P46" s="43"/>
      <c r="Q46" s="43">
        <f t="shared" si="3"/>
        <v>0</v>
      </c>
      <c r="R46" s="43">
        <f ca="1">R45*(1+'Assumptions Sheet'!Q35)</f>
        <v>57025.186405839282</v>
      </c>
      <c r="S46" s="43">
        <f ca="1">S45*(1+'Assumptions Sheet'!P35)</f>
        <v>71972.373482314884</v>
      </c>
      <c r="T46" s="43">
        <f ca="1">T45*('Assumptions Sheet'!Q35+1)</f>
        <v>38016.790937226186</v>
      </c>
      <c r="U46" s="43">
        <f ca="1">U45*('Assumptions Sheet'!S35+1)</f>
        <v>10805.661033041501</v>
      </c>
      <c r="V46" s="43">
        <f ca="1">V45*(1+'Assumptions Sheet'!Q35)</f>
        <v>76033.581874452371</v>
      </c>
      <c r="W46" s="43">
        <f ca="1">W45*(1+'Assumptions Sheet'!R35)</f>
        <v>43138.047475794454</v>
      </c>
      <c r="X46" s="43">
        <f ca="1">X45*(1+'Assumptions Sheet'!O35)</f>
        <v>193666.8432927166</v>
      </c>
      <c r="Y46" s="43">
        <f t="shared" si="18"/>
        <v>12000</v>
      </c>
      <c r="Z46" s="43">
        <f ca="1">'Assumptions Sheet'!V36</f>
        <v>10000</v>
      </c>
      <c r="AA46" s="41">
        <f t="shared" ca="1" si="5"/>
        <v>512658.4845013853</v>
      </c>
      <c r="AB46" s="40"/>
      <c r="AC46" s="43">
        <f t="shared" ca="1" si="23"/>
        <v>2417539.1397002358</v>
      </c>
      <c r="AD46" s="43">
        <f t="shared" ca="1" si="7"/>
        <v>512658.4845013853</v>
      </c>
      <c r="AE46" s="39">
        <f t="shared" ca="1" si="8"/>
        <v>1904880.6551988504</v>
      </c>
      <c r="AF46" s="43" t="str" cm="1">
        <f t="array" aca="1" ref="AF46" ca="1">_xlfn.IFS(AE46&lt;0,"Withdrawal From Savings A/C",AND(AE46&gt;0,BH45&lt;[1]Details!$V$18),"Transfer to Emergency Fund",AE46&gt;$AG$29,"Investment Possible",AND(AE46&gt;0,BH45&gt;[1]Details!$V$18),"Investment Possible With Bal")</f>
        <v>Investment Possible</v>
      </c>
      <c r="AG46" s="43" cm="1">
        <f t="array" aca="1" ref="AG46" ca="1">_xlfn.IFS(OR(AF46="Withdrawal From Savings A/C",AF46="Transfer to Emergency Fund"),0,AF46= "Investment Possible With Bal",AE46,AF46= "Investment Possible",MAX($AG$29,$AG45*(1+$AH$25)))</f>
        <v>167089.92677662626</v>
      </c>
      <c r="AH46" s="43">
        <f t="shared" ca="1" si="30"/>
        <v>1737790.7284222241</v>
      </c>
      <c r="AI46" s="40"/>
      <c r="AJ46" s="42">
        <f>'Calc Engine'!$C46</f>
        <v>35</v>
      </c>
      <c r="AK46" s="43">
        <f t="shared" ca="1" si="9"/>
        <v>167089.92677662626</v>
      </c>
      <c r="AL46" s="43">
        <f t="shared" ca="1" si="20"/>
        <v>1437989.1945428876</v>
      </c>
      <c r="AM46" s="40"/>
      <c r="AN46" s="43">
        <f t="shared" ca="1" si="21"/>
        <v>16708.992677662627</v>
      </c>
      <c r="AO46" s="43">
        <f ca="1">(AN46+AQ45)*(1+'Assumptions Sheet'!AA36)</f>
        <v>-563161.9262747824</v>
      </c>
      <c r="AP46" s="39">
        <f>_xlfn.XLOOKUP(AJ46,[1]Details!$L$14:$L$23,[1]Details!$M$14:$M$23,0,0,1)</f>
        <v>0</v>
      </c>
      <c r="AQ46" s="43">
        <f t="shared" ca="1" si="24"/>
        <v>-563161.9262747824</v>
      </c>
      <c r="AR46" s="40"/>
      <c r="AS46" s="43">
        <f t="shared" ca="1" si="22"/>
        <v>16708.992677662627</v>
      </c>
      <c r="AT46" s="43">
        <f ca="1">(AV45+AS46)*(1+'Assumptions Sheet'!AB36)</f>
        <v>-117195.59604987086</v>
      </c>
      <c r="AU46" s="39">
        <f>_xlfn.XLOOKUP(AJ46,[1]Details!$L$14:$L$23,[1]Details!$N$14:$N$23,0,0,1)</f>
        <v>340000</v>
      </c>
      <c r="AV46" s="43">
        <f t="shared" ca="1" si="11"/>
        <v>-457195.59604987083</v>
      </c>
      <c r="AW46" s="40"/>
      <c r="AX46" s="43">
        <f t="shared" ca="1" si="12"/>
        <v>133671.94142130102</v>
      </c>
      <c r="AY46" s="43">
        <f ca="1">(AX46+BA45)*(1+'Assumptions Sheet'!AC36)</f>
        <v>4732900.2307672948</v>
      </c>
      <c r="AZ46" s="39">
        <f>_xlfn.XLOOKUP(AJ46,[1]Details!$L$14:$L$23,[1]Details!$O$14:$O$23,0,0,1)</f>
        <v>0</v>
      </c>
      <c r="BA46" s="43">
        <f t="shared" ca="1" si="25"/>
        <v>4732900.2307672948</v>
      </c>
      <c r="BB46" s="40"/>
      <c r="BC46" s="43">
        <f t="shared" ca="1" si="14"/>
        <v>167089.92677662629</v>
      </c>
      <c r="BD46" s="43">
        <f t="shared" ca="1" si="26"/>
        <v>318989.86020992289</v>
      </c>
      <c r="BF46" s="39">
        <f t="shared" ca="1" si="15"/>
        <v>1737790.7284222241</v>
      </c>
      <c r="BG46" s="39">
        <f t="shared" ca="1" si="16"/>
        <v>0</v>
      </c>
      <c r="BH46" s="39">
        <f ca="1">(((BF46+BH45)*(1+'Assumptions Sheet'!AE36)))-BI45+BG46</f>
        <v>13592345.039872227</v>
      </c>
      <c r="BI46" s="39">
        <f ca="1">(IF(BH46&gt;SUM([1]Details!$V$18,[1]Details!$V$19),[1]Details!$V$19,0))</f>
        <v>300000</v>
      </c>
      <c r="BJ46" s="40"/>
      <c r="BK46" s="43">
        <f t="shared" ca="1" si="27"/>
        <v>300000</v>
      </c>
      <c r="BL46" s="43">
        <f ca="1">BK46*(1+'Assumptions Sheet'!AD36)</f>
        <v>315000</v>
      </c>
      <c r="BM46" s="43"/>
      <c r="BN46" s="39">
        <f t="shared" ca="1" si="29"/>
        <v>4809000</v>
      </c>
    </row>
    <row r="47" spans="1:66" ht="14.25" customHeight="1" outlineLevel="1" x14ac:dyDescent="0.3">
      <c r="A47" s="15"/>
      <c r="B47" s="15">
        <v>36</v>
      </c>
      <c r="C47" s="38">
        <f t="shared" si="17"/>
        <v>36</v>
      </c>
      <c r="E47" s="39">
        <f ca="1">E46*(1+'Assumptions Sheet'!E36)</f>
        <v>2645572.1276861443</v>
      </c>
      <c r="F47" s="39">
        <f ca="1">F46*(1+'Assumptions Sheet'!F36)</f>
        <v>0</v>
      </c>
      <c r="G47" s="39">
        <f ca="1">G46*(1+'Assumptions Sheet'!G36)</f>
        <v>13097.247530291621</v>
      </c>
      <c r="H47" s="39">
        <f ca="1">H46*(1+'Assumptions Sheet'!H36)</f>
        <v>0</v>
      </c>
      <c r="I47" s="39"/>
      <c r="J47" s="39"/>
      <c r="K47" s="39"/>
      <c r="L47" s="39"/>
      <c r="M47" s="39"/>
      <c r="N47" s="39">
        <f t="shared" ca="1" si="28"/>
        <v>2658669.3752164361</v>
      </c>
      <c r="O47" s="40"/>
      <c r="P47" s="39"/>
      <c r="Q47" s="39">
        <f t="shared" si="3"/>
        <v>0</v>
      </c>
      <c r="R47" s="39">
        <f ca="1">R46*(1+'Assumptions Sheet'!Q36)</f>
        <v>61587.201318306426</v>
      </c>
      <c r="S47" s="39">
        <f ca="1">S46*(1+'Assumptions Sheet'!P36)</f>
        <v>74851.268421607485</v>
      </c>
      <c r="T47" s="39">
        <f ca="1">T46*('Assumptions Sheet'!Q36+1)</f>
        <v>41058.134212204284</v>
      </c>
      <c r="U47" s="39">
        <f ca="1">U46*('Assumptions Sheet'!S36+1)</f>
        <v>11237.88747436316</v>
      </c>
      <c r="V47" s="39">
        <f ca="1">V46*(1+'Assumptions Sheet'!Q36)</f>
        <v>82116.268424408569</v>
      </c>
      <c r="W47" s="39">
        <f ca="1">W46*(1+'Assumptions Sheet'!R36)</f>
        <v>45726.330324342125</v>
      </c>
      <c r="X47" s="39">
        <f ca="1">X46*(1+'Assumptions Sheet'!O36)</f>
        <v>203350.18545735243</v>
      </c>
      <c r="Y47" s="39">
        <f t="shared" si="18"/>
        <v>12000</v>
      </c>
      <c r="Z47" s="39">
        <f ca="1">'Assumptions Sheet'!V37</f>
        <v>10000</v>
      </c>
      <c r="AA47" s="41">
        <f t="shared" ca="1" si="5"/>
        <v>541927.27563258447</v>
      </c>
      <c r="AB47" s="40"/>
      <c r="AC47" s="39">
        <f t="shared" ca="1" si="23"/>
        <v>2658669.3752164361</v>
      </c>
      <c r="AD47" s="39">
        <f t="shared" ca="1" si="7"/>
        <v>541927.27563258447</v>
      </c>
      <c r="AE47" s="39">
        <f t="shared" ca="1" si="8"/>
        <v>2116742.0995838516</v>
      </c>
      <c r="AF47" s="39" t="str" cm="1">
        <f t="array" aca="1" ref="AF47" ca="1">_xlfn.IFS(AE47&lt;0,"Withdrawal From Savings A/C",AND(AE47&gt;0,BH46&lt;[1]Details!$V$18),"Transfer to Emergency Fund",AE47&gt;$AG$29,"Investment Possible",AND(AE47&gt;0,BH46&gt;[1]Details!$V$18),"Investment Possible With Bal")</f>
        <v>Investment Possible</v>
      </c>
      <c r="AG47" s="39" cm="1">
        <f t="array" aca="1" ref="AG47" ca="1">_xlfn.IFS(OR(AF47="Withdrawal From Savings A/C",AF47="Transfer to Emergency Fund"),0,AF47= "Investment Possible With Bal",AE47,AF47= "Investment Possible",MAX($AG$29,$AG46*(1+$AH$25)))</f>
        <v>183798.9194542889</v>
      </c>
      <c r="AH47" s="39">
        <f t="shared" ca="1" si="30"/>
        <v>1932943.1801295627</v>
      </c>
      <c r="AI47" s="40"/>
      <c r="AJ47" s="38">
        <f>'Calc Engine'!$C47</f>
        <v>36</v>
      </c>
      <c r="AK47" s="39">
        <f t="shared" ca="1" si="9"/>
        <v>183798.9194542889</v>
      </c>
      <c r="AL47" s="39">
        <f t="shared" ca="1" si="20"/>
        <v>1621788.1139971765</v>
      </c>
      <c r="AM47" s="40"/>
      <c r="AN47" s="39">
        <f t="shared" ca="1" si="21"/>
        <v>18379.891945428892</v>
      </c>
      <c r="AO47" s="39">
        <f ca="1">(AN47+AQ46)*(1+'Assumptions Sheet'!AA37)</f>
        <v>-621051.51913546305</v>
      </c>
      <c r="AP47" s="39">
        <f>_xlfn.XLOOKUP(AJ47,[1]Details!$L$14:$L$23,[1]Details!$M$14:$M$23,0,0,1)</f>
        <v>0</v>
      </c>
      <c r="AQ47" s="39">
        <f t="shared" ca="1" si="24"/>
        <v>-621051.51913546305</v>
      </c>
      <c r="AR47" s="40"/>
      <c r="AS47" s="39">
        <f t="shared" ca="1" si="22"/>
        <v>18379.891945428892</v>
      </c>
      <c r="AT47" s="39">
        <f ca="1">(AV46+AS47)*(1+'Assumptions Sheet'!AB37)</f>
        <v>-509026.21676115261</v>
      </c>
      <c r="AU47" s="39">
        <f>_xlfn.XLOOKUP(AJ47,[1]Details!$L$14:$L$23,[1]Details!$N$14:$N$23,0,0,1)</f>
        <v>0</v>
      </c>
      <c r="AV47" s="39">
        <f t="shared" ca="1" si="11"/>
        <v>-509026.21676115261</v>
      </c>
      <c r="AW47" s="40"/>
      <c r="AX47" s="39">
        <f t="shared" ca="1" si="12"/>
        <v>147039.13556343113</v>
      </c>
      <c r="AY47" s="39">
        <f ca="1">(AX47+BA46)*(1+'Assumptions Sheet'!AC37)</f>
        <v>5855927.2395968707</v>
      </c>
      <c r="AZ47" s="39">
        <f>_xlfn.XLOOKUP(AJ47,[1]Details!$L$14:$L$23,[1]Details!$O$14:$O$23,0,0,1)</f>
        <v>0</v>
      </c>
      <c r="BA47" s="39">
        <f t="shared" ca="1" si="25"/>
        <v>5855927.2395968707</v>
      </c>
      <c r="BB47" s="40"/>
      <c r="BC47" s="39">
        <f t="shared" ca="1" si="14"/>
        <v>183798.9194542889</v>
      </c>
      <c r="BD47" s="39">
        <f t="shared" ca="1" si="26"/>
        <v>350888.84623091517</v>
      </c>
      <c r="BF47" s="39">
        <f t="shared" ca="1" si="15"/>
        <v>1932943.1801295627</v>
      </c>
      <c r="BG47" s="39">
        <f t="shared" ca="1" si="16"/>
        <v>0</v>
      </c>
      <c r="BH47" s="39">
        <f ca="1">(((BF47+BH46)*(1+'Assumptions Sheet'!AE37)))-BI46+BG47</f>
        <v>15691046.866601845</v>
      </c>
      <c r="BI47" s="39">
        <f ca="1">(IF(BH47&gt;SUM([1]Details!$V$18,[1]Details!$V$19),[1]Details!$V$19,0))</f>
        <v>300000</v>
      </c>
      <c r="BJ47" s="40"/>
      <c r="BK47" s="39">
        <f t="shared" ca="1" si="27"/>
        <v>300000</v>
      </c>
      <c r="BL47" s="39">
        <f ca="1">BK47*(1+'Assumptions Sheet'!AD37)</f>
        <v>315000</v>
      </c>
      <c r="BM47" s="39"/>
      <c r="BN47" s="39">
        <f t="shared" ca="1" si="29"/>
        <v>5124000</v>
      </c>
    </row>
    <row r="48" spans="1:66" ht="14.25" customHeight="1" outlineLevel="1" x14ac:dyDescent="0.3">
      <c r="A48" s="15"/>
      <c r="B48" s="15">
        <v>37</v>
      </c>
      <c r="C48" s="42">
        <f t="shared" si="17"/>
        <v>37</v>
      </c>
      <c r="E48" s="43">
        <f ca="1">E47*(1+'Assumptions Sheet'!E37)</f>
        <v>2910129.3404547591</v>
      </c>
      <c r="F48" s="43">
        <f ca="1">F47*(1+'Assumptions Sheet'!F37)</f>
        <v>0</v>
      </c>
      <c r="G48" s="43">
        <f ca="1">G47*(1+'Assumptions Sheet'!G37)</f>
        <v>13752.109906806203</v>
      </c>
      <c r="H48" s="43">
        <f ca="1">H47*(1+'Assumptions Sheet'!H37)</f>
        <v>0</v>
      </c>
      <c r="I48" s="43"/>
      <c r="J48" s="43"/>
      <c r="K48" s="43"/>
      <c r="L48" s="43"/>
      <c r="M48" s="43"/>
      <c r="N48" s="43">
        <f t="shared" ca="1" si="28"/>
        <v>2923881.4503615652</v>
      </c>
      <c r="O48" s="40"/>
      <c r="P48" s="43"/>
      <c r="Q48" s="43">
        <f t="shared" si="3"/>
        <v>0</v>
      </c>
      <c r="R48" s="43">
        <f ca="1">R47*(1+'Assumptions Sheet'!Q37)</f>
        <v>66514.177423770947</v>
      </c>
      <c r="S48" s="43">
        <f ca="1">S47*(1+'Assumptions Sheet'!P37)</f>
        <v>77845.319158471786</v>
      </c>
      <c r="T48" s="43">
        <f ca="1">T47*('Assumptions Sheet'!Q37+1)</f>
        <v>44342.784949180626</v>
      </c>
      <c r="U48" s="43">
        <f ca="1">U47*('Assumptions Sheet'!S37+1)</f>
        <v>11687.402973337686</v>
      </c>
      <c r="V48" s="43">
        <f ca="1">V47*(1+'Assumptions Sheet'!Q37)</f>
        <v>88685.569898361253</v>
      </c>
      <c r="W48" s="43">
        <f ca="1">W47*(1+'Assumptions Sheet'!R37)</f>
        <v>48469.910143802656</v>
      </c>
      <c r="X48" s="43">
        <f ca="1">X47*(1+'Assumptions Sheet'!O37)</f>
        <v>213517.69473022007</v>
      </c>
      <c r="Y48" s="43">
        <f t="shared" si="18"/>
        <v>12000</v>
      </c>
      <c r="Z48" s="43">
        <f ca="1">'Assumptions Sheet'!V38</f>
        <v>15000</v>
      </c>
      <c r="AA48" s="41">
        <f t="shared" ca="1" si="5"/>
        <v>578062.85927714501</v>
      </c>
      <c r="AB48" s="40"/>
      <c r="AC48" s="43">
        <f t="shared" ca="1" si="23"/>
        <v>2923881.4503615652</v>
      </c>
      <c r="AD48" s="43">
        <f t="shared" ca="1" si="7"/>
        <v>578062.85927714501</v>
      </c>
      <c r="AE48" s="39">
        <f t="shared" ca="1" si="8"/>
        <v>2345818.5910844202</v>
      </c>
      <c r="AF48" s="43" t="str" cm="1">
        <f t="array" aca="1" ref="AF48" ca="1">_xlfn.IFS(AE48&lt;0,"Withdrawal From Savings A/C",AND(AE48&gt;0,BH47&lt;[1]Details!$V$18),"Transfer to Emergency Fund",AE48&gt;$AG$29,"Investment Possible",AND(AE48&gt;0,BH47&gt;[1]Details!$V$18),"Investment Possible With Bal")</f>
        <v>Investment Possible</v>
      </c>
      <c r="AG48" s="43" cm="1">
        <f t="array" aca="1" ref="AG48" ca="1">_xlfn.IFS(OR(AF48="Withdrawal From Savings A/C",AF48="Transfer to Emergency Fund"),0,AF48= "Investment Possible With Bal",AE48,AF48= "Investment Possible",MAX($AG$29,$AG47*(1+$AH$25)))</f>
        <v>202178.81139971782</v>
      </c>
      <c r="AH48" s="43">
        <f t="shared" ca="1" si="30"/>
        <v>2143639.7796847024</v>
      </c>
      <c r="AI48" s="40"/>
      <c r="AJ48" s="42">
        <f>'Calc Engine'!$C48</f>
        <v>37</v>
      </c>
      <c r="AK48" s="43">
        <f t="shared" ca="1" si="9"/>
        <v>202178.81139971782</v>
      </c>
      <c r="AL48" s="43">
        <f t="shared" ca="1" si="20"/>
        <v>1823966.9253968943</v>
      </c>
      <c r="AM48" s="40"/>
      <c r="AN48" s="43">
        <f t="shared" ca="1" si="21"/>
        <v>20217.881139971782</v>
      </c>
      <c r="AO48" s="43">
        <f ca="1">(AN48+AQ47)*(1+'Assumptions Sheet'!AA38)</f>
        <v>-672933.67455495032</v>
      </c>
      <c r="AP48" s="39">
        <f>_xlfn.XLOOKUP(AJ48,[1]Details!$L$14:$L$23,[1]Details!$M$14:$M$23,0,0,1)</f>
        <v>0</v>
      </c>
      <c r="AQ48" s="43">
        <f t="shared" ca="1" si="24"/>
        <v>-672933.67455495032</v>
      </c>
      <c r="AR48" s="40"/>
      <c r="AS48" s="43">
        <f t="shared" ca="1" si="22"/>
        <v>20217.881139971782</v>
      </c>
      <c r="AT48" s="43">
        <f ca="1">(AV47+AS48)*(1+'Assumptions Sheet'!AB38)</f>
        <v>-557241.50260814617</v>
      </c>
      <c r="AU48" s="39">
        <f>_xlfn.XLOOKUP(AJ48,[1]Details!$L$14:$L$23,[1]Details!$N$14:$N$23,0,0,1)</f>
        <v>0</v>
      </c>
      <c r="AV48" s="43">
        <f t="shared" ca="1" si="11"/>
        <v>-557241.50260814617</v>
      </c>
      <c r="AW48" s="40"/>
      <c r="AX48" s="43">
        <f t="shared" ca="1" si="12"/>
        <v>161743.04911977425</v>
      </c>
      <c r="AY48" s="43">
        <f ca="1">(AX48+BA47)*(1+'Assumptions Sheet'!AC38)</f>
        <v>6980497.5349113075</v>
      </c>
      <c r="AZ48" s="39">
        <f>_xlfn.XLOOKUP(AJ48,[1]Details!$L$14:$L$23,[1]Details!$O$14:$O$23,0,0,1)</f>
        <v>0</v>
      </c>
      <c r="BA48" s="43">
        <f t="shared" ca="1" si="25"/>
        <v>6980497.5349113075</v>
      </c>
      <c r="BB48" s="40"/>
      <c r="BC48" s="43">
        <f t="shared" ca="1" si="14"/>
        <v>202178.81139971782</v>
      </c>
      <c r="BD48" s="43">
        <f t="shared" ca="1" si="26"/>
        <v>385977.73085400672</v>
      </c>
      <c r="BF48" s="39">
        <f t="shared" ca="1" si="15"/>
        <v>2143639.7796847024</v>
      </c>
      <c r="BG48" s="39">
        <f t="shared" ca="1" si="16"/>
        <v>0</v>
      </c>
      <c r="BH48" s="39">
        <f ca="1">(((BF48+BH47)*(1+'Assumptions Sheet'!AE38)))-BI47+BG48</f>
        <v>18069727.245675143</v>
      </c>
      <c r="BI48" s="39">
        <f ca="1">(IF(BH48&gt;SUM([1]Details!$V$18,[1]Details!$V$19),[1]Details!$V$19,0))</f>
        <v>300000</v>
      </c>
      <c r="BJ48" s="40"/>
      <c r="BK48" s="43">
        <f t="shared" ca="1" si="27"/>
        <v>300000</v>
      </c>
      <c r="BL48" s="43">
        <f ca="1">BK48*(1+'Assumptions Sheet'!AD38)</f>
        <v>315000</v>
      </c>
      <c r="BM48" s="43"/>
      <c r="BN48" s="39">
        <f t="shared" ca="1" si="29"/>
        <v>5439000</v>
      </c>
    </row>
    <row r="49" spans="1:66" ht="14.25" customHeight="1" outlineLevel="1" x14ac:dyDescent="0.3">
      <c r="A49" s="15"/>
      <c r="B49" s="15">
        <v>38</v>
      </c>
      <c r="C49" s="38">
        <f t="shared" si="17"/>
        <v>38</v>
      </c>
      <c r="E49" s="39">
        <f ca="1">E48*(1+'Assumptions Sheet'!E38)</f>
        <v>3113838.3942865925</v>
      </c>
      <c r="F49" s="39">
        <f ca="1">F48*(1+'Assumptions Sheet'!F38)</f>
        <v>0</v>
      </c>
      <c r="G49" s="39">
        <f ca="1">G48*(1+'Assumptions Sheet'!G38)</f>
        <v>14439.715402146514</v>
      </c>
      <c r="H49" s="39">
        <f ca="1">H48*(1+'Assumptions Sheet'!H38)</f>
        <v>0</v>
      </c>
      <c r="I49" s="39"/>
      <c r="J49" s="39"/>
      <c r="K49" s="39"/>
      <c r="L49" s="39"/>
      <c r="M49" s="39"/>
      <c r="N49" s="39">
        <f t="shared" ca="1" si="28"/>
        <v>3128278.1096887388</v>
      </c>
      <c r="O49" s="40"/>
      <c r="P49" s="39"/>
      <c r="Q49" s="39">
        <f t="shared" si="3"/>
        <v>0</v>
      </c>
      <c r="R49" s="39">
        <f ca="1">R48*(1+'Assumptions Sheet'!Q38)</f>
        <v>69839.886294959491</v>
      </c>
      <c r="S49" s="39">
        <f ca="1">S48*(1+'Assumptions Sheet'!P38)</f>
        <v>81737.585116395378</v>
      </c>
      <c r="T49" s="39">
        <f ca="1">T48*('Assumptions Sheet'!Q38+1)</f>
        <v>46559.924196639658</v>
      </c>
      <c r="U49" s="39">
        <f ca="1">U48*('Assumptions Sheet'!S38+1)</f>
        <v>12154.899092271195</v>
      </c>
      <c r="V49" s="39">
        <f ca="1">V48*(1+'Assumptions Sheet'!Q38)</f>
        <v>93119.848393279317</v>
      </c>
      <c r="W49" s="39">
        <f ca="1">W48*(1+'Assumptions Sheet'!R38)</f>
        <v>51378.104752430816</v>
      </c>
      <c r="X49" s="39">
        <f ca="1">X48*(1+'Assumptions Sheet'!O38)</f>
        <v>226328.7564140333</v>
      </c>
      <c r="Y49" s="39">
        <f t="shared" si="18"/>
        <v>12000</v>
      </c>
      <c r="Z49" s="39">
        <f ca="1">'Assumptions Sheet'!V39</f>
        <v>10000</v>
      </c>
      <c r="AA49" s="41">
        <f t="shared" ca="1" si="5"/>
        <v>603119.00426000915</v>
      </c>
      <c r="AB49" s="40"/>
      <c r="AC49" s="39">
        <f t="shared" ca="1" si="23"/>
        <v>3128278.1096887388</v>
      </c>
      <c r="AD49" s="39">
        <f t="shared" ca="1" si="7"/>
        <v>603119.00426000915</v>
      </c>
      <c r="AE49" s="39">
        <f t="shared" ca="1" si="8"/>
        <v>2525159.1054287297</v>
      </c>
      <c r="AF49" s="39" t="str" cm="1">
        <f t="array" aca="1" ref="AF49" ca="1">_xlfn.IFS(AE49&lt;0,"Withdrawal From Savings A/C",AND(AE49&gt;0,BH48&lt;[1]Details!$V$18),"Transfer to Emergency Fund",AE49&gt;$AG$29,"Investment Possible",AND(AE49&gt;0,BH48&gt;[1]Details!$V$18),"Investment Possible With Bal")</f>
        <v>Investment Possible</v>
      </c>
      <c r="AG49" s="39" cm="1">
        <f t="array" aca="1" ref="AG49" ca="1">_xlfn.IFS(OR(AF49="Withdrawal From Savings A/C",AF49="Transfer to Emergency Fund"),0,AF49= "Investment Possible With Bal",AE49,AF49= "Investment Possible",MAX($AG$29,$AG48*(1+$AH$25)))</f>
        <v>222396.69253968963</v>
      </c>
      <c r="AH49" s="39">
        <f t="shared" ca="1" si="30"/>
        <v>2302762.4128890401</v>
      </c>
      <c r="AI49" s="40"/>
      <c r="AJ49" s="38">
        <f>'Calc Engine'!$C49</f>
        <v>38</v>
      </c>
      <c r="AK49" s="39">
        <f t="shared" ca="1" si="9"/>
        <v>222396.69253968963</v>
      </c>
      <c r="AL49" s="39">
        <f t="shared" ca="1" si="20"/>
        <v>2046363.6179365839</v>
      </c>
      <c r="AM49" s="40"/>
      <c r="AN49" s="39">
        <f t="shared" ca="1" si="21"/>
        <v>22239.669253968965</v>
      </c>
      <c r="AO49" s="39">
        <f ca="1">(AN49+AQ48)*(1+'Assumptions Sheet'!AA39)</f>
        <v>-741791.16604311881</v>
      </c>
      <c r="AP49" s="39">
        <f>_xlfn.XLOOKUP(AJ49,[1]Details!$L$14:$L$23,[1]Details!$M$14:$M$23,0,0,1)</f>
        <v>0</v>
      </c>
      <c r="AQ49" s="39">
        <f t="shared" ca="1" si="24"/>
        <v>-741791.16604311881</v>
      </c>
      <c r="AR49" s="40"/>
      <c r="AS49" s="39">
        <f t="shared" ca="1" si="22"/>
        <v>22239.669253968965</v>
      </c>
      <c r="AT49" s="39">
        <f ca="1">(AV48+AS49)*(1+'Assumptions Sheet'!AB39)</f>
        <v>-620602.12669084547</v>
      </c>
      <c r="AU49" s="39">
        <f>_xlfn.XLOOKUP(AJ49,[1]Details!$L$14:$L$23,[1]Details!$N$14:$N$23,0,0,1)</f>
        <v>0</v>
      </c>
      <c r="AV49" s="39">
        <f t="shared" ca="1" si="11"/>
        <v>-620602.12669084547</v>
      </c>
      <c r="AW49" s="40"/>
      <c r="AX49" s="39">
        <f t="shared" ca="1" si="12"/>
        <v>177917.35403175172</v>
      </c>
      <c r="AY49" s="39">
        <f ca="1">(AX49+BA48)*(1+'Assumptions Sheet'!AC39)</f>
        <v>8590097.8667316716</v>
      </c>
      <c r="AZ49" s="39">
        <f>_xlfn.XLOOKUP(AJ49,[1]Details!$L$14:$L$23,[1]Details!$O$14:$O$23,0,0,1)</f>
        <v>5500000</v>
      </c>
      <c r="BA49" s="39">
        <f t="shared" ca="1" si="25"/>
        <v>3090097.8667316716</v>
      </c>
      <c r="BB49" s="40"/>
      <c r="BC49" s="39">
        <f t="shared" ca="1" si="14"/>
        <v>222396.69253968963</v>
      </c>
      <c r="BD49" s="39">
        <f t="shared" ca="1" si="26"/>
        <v>424575.50393940741</v>
      </c>
      <c r="BF49" s="39">
        <f t="shared" ca="1" si="15"/>
        <v>2302762.4128890401</v>
      </c>
      <c r="BG49" s="39">
        <f t="shared" ca="1" si="16"/>
        <v>0</v>
      </c>
      <c r="BH49" s="39">
        <f ca="1">(((BF49+BH48)*(1+'Assumptions Sheet'!AE39)))-BI48+BG49</f>
        <v>20683664.34832111</v>
      </c>
      <c r="BI49" s="39">
        <f ca="1">(IF(BH49&gt;SUM([1]Details!$V$18,[1]Details!$V$19),[1]Details!$V$19,0))</f>
        <v>300000</v>
      </c>
      <c r="BJ49" s="40"/>
      <c r="BK49" s="39">
        <f t="shared" ca="1" si="27"/>
        <v>300000</v>
      </c>
      <c r="BL49" s="39">
        <f ca="1">BK49*(1+'Assumptions Sheet'!AD39)</f>
        <v>315000</v>
      </c>
      <c r="BM49" s="39"/>
      <c r="BN49" s="39">
        <f t="shared" ca="1" si="29"/>
        <v>5754000</v>
      </c>
    </row>
    <row r="50" spans="1:66" ht="14.25" customHeight="1" outlineLevel="1" x14ac:dyDescent="0.3">
      <c r="A50" s="15"/>
      <c r="B50" s="15">
        <v>39</v>
      </c>
      <c r="C50" s="42">
        <f t="shared" si="17"/>
        <v>39</v>
      </c>
      <c r="E50" s="43">
        <f ca="1">E49*(1+'Assumptions Sheet'!E39)</f>
        <v>3425222.233715252</v>
      </c>
      <c r="F50" s="43">
        <f ca="1">F49*(1+'Assumptions Sheet'!F39)</f>
        <v>0</v>
      </c>
      <c r="G50" s="43">
        <f ca="1">G49*(1+'Assumptions Sheet'!G39)</f>
        <v>15161.701172253841</v>
      </c>
      <c r="H50" s="43">
        <f ca="1">H49*(1+'Assumptions Sheet'!H39)</f>
        <v>0</v>
      </c>
      <c r="I50" s="43"/>
      <c r="J50" s="43"/>
      <c r="K50" s="43"/>
      <c r="L50" s="43"/>
      <c r="M50" s="43"/>
      <c r="N50" s="43">
        <f t="shared" ca="1" si="28"/>
        <v>3440383.9348875061</v>
      </c>
      <c r="O50" s="40"/>
      <c r="P50" s="43"/>
      <c r="Q50" s="43">
        <f t="shared" si="3"/>
        <v>0</v>
      </c>
      <c r="R50" s="43">
        <f ca="1">R49*(1+'Assumptions Sheet'!Q39)</f>
        <v>75427.077198556261</v>
      </c>
      <c r="S50" s="43">
        <f ca="1">S49*(1+'Assumptions Sheet'!P39)</f>
        <v>85007.088521051191</v>
      </c>
      <c r="T50" s="43">
        <f ca="1">T49*('Assumptions Sheet'!Q39+1)</f>
        <v>50284.718132370836</v>
      </c>
      <c r="U50" s="43">
        <f ca="1">U49*('Assumptions Sheet'!S39+1)</f>
        <v>12641.095055962043</v>
      </c>
      <c r="V50" s="43">
        <f ca="1">V49*(1+'Assumptions Sheet'!Q39)</f>
        <v>100569.43626474167</v>
      </c>
      <c r="W50" s="43">
        <f ca="1">W49*(1+'Assumptions Sheet'!R39)</f>
        <v>54460.791037576666</v>
      </c>
      <c r="X50" s="43">
        <f ca="1">X49*(1+'Assumptions Sheet'!O39)</f>
        <v>237645.19423473498</v>
      </c>
      <c r="Y50" s="43">
        <f t="shared" si="18"/>
        <v>12000</v>
      </c>
      <c r="Z50" s="43">
        <f ca="1">'Assumptions Sheet'!V40</f>
        <v>10000</v>
      </c>
      <c r="AA50" s="41">
        <f t="shared" ca="1" si="5"/>
        <v>638035.40044499375</v>
      </c>
      <c r="AB50" s="40"/>
      <c r="AC50" s="43">
        <f t="shared" ca="1" si="23"/>
        <v>3440383.9348875061</v>
      </c>
      <c r="AD50" s="43">
        <f t="shared" ca="1" si="7"/>
        <v>638035.40044499375</v>
      </c>
      <c r="AE50" s="39">
        <f t="shared" ca="1" si="8"/>
        <v>2802348.5344425123</v>
      </c>
      <c r="AF50" s="43" t="str" cm="1">
        <f t="array" aca="1" ref="AF50" ca="1">_xlfn.IFS(AE50&lt;0,"Withdrawal From Savings A/C",AND(AE50&gt;0,BH49&lt;[1]Details!$V$18),"Transfer to Emergency Fund",AE50&gt;$AG$29,"Investment Possible",AND(AE50&gt;0,BH49&gt;[1]Details!$V$18),"Investment Possible With Bal")</f>
        <v>Investment Possible</v>
      </c>
      <c r="AG50" s="43" cm="1">
        <f t="array" aca="1" ref="AG50" ca="1">_xlfn.IFS(OR(AF50="Withdrawal From Savings A/C",AF50="Transfer to Emergency Fund"),0,AF50= "Investment Possible With Bal",AE50,AF50= "Investment Possible",MAX($AG$29,$AG49*(1+$AH$25)))</f>
        <v>244636.36179365861</v>
      </c>
      <c r="AH50" s="43">
        <f t="shared" ca="1" si="30"/>
        <v>2557712.1726488536</v>
      </c>
      <c r="AI50" s="40"/>
      <c r="AJ50" s="42">
        <f>'Calc Engine'!$C50</f>
        <v>39</v>
      </c>
      <c r="AK50" s="43">
        <f t="shared" ca="1" si="9"/>
        <v>244636.36179365861</v>
      </c>
      <c r="AL50" s="43">
        <f t="shared" ca="1" si="20"/>
        <v>2290999.9797302424</v>
      </c>
      <c r="AM50" s="40"/>
      <c r="AN50" s="43">
        <f t="shared" ca="1" si="21"/>
        <v>24463.636179365862</v>
      </c>
      <c r="AO50" s="43">
        <f ca="1">(AN50+AQ49)*(1+'Assumptions Sheet'!AA40)</f>
        <v>-817753.38404467842</v>
      </c>
      <c r="AP50" s="39">
        <f>_xlfn.XLOOKUP(AJ50,[1]Details!$L$14:$L$23,[1]Details!$M$14:$M$23,0,0,1)</f>
        <v>0</v>
      </c>
      <c r="AQ50" s="43">
        <f t="shared" ca="1" si="24"/>
        <v>-817753.38404467842</v>
      </c>
      <c r="AR50" s="40"/>
      <c r="AS50" s="43">
        <f t="shared" ca="1" si="22"/>
        <v>24463.636179365862</v>
      </c>
      <c r="AT50" s="43">
        <f ca="1">(AV49+AS50)*(1+'Assumptions Sheet'!AB40)</f>
        <v>-691520.64899331622</v>
      </c>
      <c r="AU50" s="39">
        <f>_xlfn.XLOOKUP(AJ50,[1]Details!$L$14:$L$23,[1]Details!$N$14:$N$23,0,0,1)</f>
        <v>0</v>
      </c>
      <c r="AV50" s="43">
        <f t="shared" ca="1" si="11"/>
        <v>-691520.64899331622</v>
      </c>
      <c r="AW50" s="40"/>
      <c r="AX50" s="43">
        <f t="shared" ca="1" si="12"/>
        <v>195709.08943492689</v>
      </c>
      <c r="AY50" s="43">
        <f ca="1">(AX50+BA49)*(1+'Assumptions Sheet'!AC40)</f>
        <v>3942968.3473999179</v>
      </c>
      <c r="AZ50" s="39">
        <f>_xlfn.XLOOKUP(AJ50,[1]Details!$L$14:$L$23,[1]Details!$O$14:$O$23,0,0,1)</f>
        <v>0</v>
      </c>
      <c r="BA50" s="43">
        <f t="shared" ca="1" si="25"/>
        <v>3942968.3473999179</v>
      </c>
      <c r="BB50" s="40"/>
      <c r="BC50" s="43">
        <f t="shared" ca="1" si="14"/>
        <v>244636.36179365861</v>
      </c>
      <c r="BD50" s="43">
        <f t="shared" ca="1" si="26"/>
        <v>467033.05433334823</v>
      </c>
      <c r="BF50" s="39">
        <f t="shared" ca="1" si="15"/>
        <v>2557712.1726488536</v>
      </c>
      <c r="BG50" s="39">
        <f t="shared" ca="1" si="16"/>
        <v>0</v>
      </c>
      <c r="BH50" s="39">
        <f ca="1">(((BF50+BH49)*(1+'Assumptions Sheet'!AE40)))-BI49+BG50</f>
        <v>23638617.816599064</v>
      </c>
      <c r="BI50" s="39">
        <f ca="1">(IF(BH50&gt;SUM([1]Details!$V$18,[1]Details!$V$19),[1]Details!$V$19,0))</f>
        <v>300000</v>
      </c>
      <c r="BJ50" s="40"/>
      <c r="BK50" s="43">
        <f t="shared" ca="1" si="27"/>
        <v>300000</v>
      </c>
      <c r="BL50" s="43">
        <f ca="1">BK50*(1+'Assumptions Sheet'!AD40)</f>
        <v>315000</v>
      </c>
      <c r="BM50" s="43"/>
      <c r="BN50" s="39">
        <f t="shared" ca="1" si="29"/>
        <v>6069000</v>
      </c>
    </row>
    <row r="51" spans="1:66" ht="14.25" customHeight="1" outlineLevel="1" x14ac:dyDescent="0.3">
      <c r="A51" s="15"/>
      <c r="B51" s="15">
        <v>40</v>
      </c>
      <c r="C51" s="38">
        <f t="shared" si="17"/>
        <v>40</v>
      </c>
      <c r="E51" s="39">
        <f ca="1">E50*(1+'Assumptions Sheet'!E40)</f>
        <v>3767744.4570867773</v>
      </c>
      <c r="F51" s="39">
        <f ca="1">F50*(1+'Assumptions Sheet'!F40)</f>
        <v>0</v>
      </c>
      <c r="G51" s="39">
        <f ca="1">G50*(1+'Assumptions Sheet'!G40)</f>
        <v>15919.786230866534</v>
      </c>
      <c r="H51" s="39">
        <f ca="1">H50*(1+'Assumptions Sheet'!H40)</f>
        <v>0</v>
      </c>
      <c r="I51" s="39"/>
      <c r="J51" s="39"/>
      <c r="K51" s="39"/>
      <c r="L51" s="39"/>
      <c r="M51" s="39"/>
      <c r="N51" s="39">
        <f t="shared" ca="1" si="28"/>
        <v>3783664.2433176436</v>
      </c>
      <c r="O51" s="40"/>
      <c r="P51" s="39"/>
      <c r="Q51" s="39">
        <f t="shared" si="3"/>
        <v>0</v>
      </c>
      <c r="R51" s="39">
        <f ca="1">R50*(1+'Assumptions Sheet'!Q40)</f>
        <v>81461.243374440761</v>
      </c>
      <c r="S51" s="39">
        <f ca="1">S50*(1+'Assumptions Sheet'!P40)</f>
        <v>88407.372061893242</v>
      </c>
      <c r="T51" s="39">
        <f ca="1">T50*('Assumptions Sheet'!Q40+1)</f>
        <v>54307.495582960502</v>
      </c>
      <c r="U51" s="39">
        <f ca="1">U50*('Assumptions Sheet'!S40+1)</f>
        <v>13146.738858200526</v>
      </c>
      <c r="V51" s="39">
        <f ca="1">V50*(1+'Assumptions Sheet'!Q40)</f>
        <v>108614.991165921</v>
      </c>
      <c r="W51" s="39">
        <f ca="1">W50*(1+'Assumptions Sheet'!R40)</f>
        <v>57728.438499831267</v>
      </c>
      <c r="X51" s="39">
        <f ca="1">X50*(1+'Assumptions Sheet'!O40)</f>
        <v>249527.45394647174</v>
      </c>
      <c r="Y51" s="39">
        <f t="shared" si="18"/>
        <v>12000</v>
      </c>
      <c r="Z51" s="39">
        <f ca="1">'Assumptions Sheet'!V41</f>
        <v>10000</v>
      </c>
      <c r="AA51" s="41">
        <f t="shared" ca="1" si="5"/>
        <v>675193.73348971899</v>
      </c>
      <c r="AB51" s="40"/>
      <c r="AC51" s="39">
        <f t="shared" ca="1" si="23"/>
        <v>3783664.2433176436</v>
      </c>
      <c r="AD51" s="39">
        <f t="shared" ca="1" si="7"/>
        <v>675193.73348971899</v>
      </c>
      <c r="AE51" s="39">
        <f t="shared" ca="1" si="8"/>
        <v>3108470.5098279249</v>
      </c>
      <c r="AF51" s="39" t="str" cm="1">
        <f t="array" aca="1" ref="AF51" ca="1">_xlfn.IFS(AE51&lt;0,"Withdrawal From Savings A/C",AND(AE51&gt;0,BH50&lt;[1]Details!$V$18),"Transfer to Emergency Fund",AE51&gt;$AG$29,"Investment Possible",AND(AE51&gt;0,BH50&gt;[1]Details!$V$18),"Investment Possible With Bal")</f>
        <v>Investment Possible</v>
      </c>
      <c r="AG51" s="39" cm="1">
        <f t="array" aca="1" ref="AG51" ca="1">_xlfn.IFS(OR(AF51="Withdrawal From Savings A/C",AF51="Transfer to Emergency Fund"),0,AF51= "Investment Possible With Bal",AE51,AF51= "Investment Possible",MAX($AG$29,$AG50*(1+$AH$25)))</f>
        <v>269099.9979730245</v>
      </c>
      <c r="AH51" s="39">
        <f t="shared" ca="1" si="30"/>
        <v>2839370.5118549005</v>
      </c>
      <c r="AI51" s="40"/>
      <c r="AJ51" s="38">
        <f>'Calc Engine'!$C51</f>
        <v>40</v>
      </c>
      <c r="AK51" s="39">
        <f t="shared" ca="1" si="9"/>
        <v>269099.9979730245</v>
      </c>
      <c r="AL51" s="39">
        <f t="shared" ca="1" si="20"/>
        <v>2560099.9777032668</v>
      </c>
      <c r="AM51" s="40"/>
      <c r="AN51" s="39">
        <f t="shared" ca="1" si="21"/>
        <v>26909.999797302451</v>
      </c>
      <c r="AO51" s="39">
        <f ca="1">(AN51+AQ50)*(1+'Assumptions Sheet'!AA41)</f>
        <v>-901561.45804200869</v>
      </c>
      <c r="AP51" s="39">
        <f>_xlfn.XLOOKUP(AJ51,[1]Details!$L$14:$L$23,[1]Details!$M$14:$M$23,0,0,1)</f>
        <v>0</v>
      </c>
      <c r="AQ51" s="39">
        <f t="shared" ca="1" si="24"/>
        <v>-901561.45804200869</v>
      </c>
      <c r="AR51" s="40"/>
      <c r="AS51" s="39">
        <f t="shared" ca="1" si="22"/>
        <v>26909.999797302451</v>
      </c>
      <c r="AT51" s="39">
        <f ca="1">(AV50+AS51)*(1+'Assumptions Sheet'!AB41)</f>
        <v>-770948.35306737595</v>
      </c>
      <c r="AU51" s="39">
        <f>_xlfn.XLOOKUP(AJ51,[1]Details!$L$14:$L$23,[1]Details!$N$14:$N$23,0,0,1)</f>
        <v>0</v>
      </c>
      <c r="AV51" s="39">
        <f t="shared" ca="1" si="11"/>
        <v>-770948.35306737595</v>
      </c>
      <c r="AW51" s="40"/>
      <c r="AX51" s="39">
        <f t="shared" ca="1" si="12"/>
        <v>215279.99837841961</v>
      </c>
      <c r="AY51" s="39">
        <f ca="1">(AX51+BA50)*(1+'Assumptions Sheet'!AC41)</f>
        <v>4989898.0149340052</v>
      </c>
      <c r="AZ51" s="39">
        <f>_xlfn.XLOOKUP(AJ51,[1]Details!$L$14:$L$23,[1]Details!$O$14:$O$23,0,0,1)</f>
        <v>0</v>
      </c>
      <c r="BA51" s="39">
        <f t="shared" ca="1" si="25"/>
        <v>4989898.0149340052</v>
      </c>
      <c r="BB51" s="40"/>
      <c r="BC51" s="39">
        <f t="shared" ca="1" si="14"/>
        <v>269099.9979730245</v>
      </c>
      <c r="BD51" s="39">
        <f t="shared" ca="1" si="26"/>
        <v>513736.35976668308</v>
      </c>
      <c r="BF51" s="39">
        <f t="shared" ca="1" si="15"/>
        <v>2839370.5118549005</v>
      </c>
      <c r="BG51" s="39">
        <f t="shared" ca="1" si="16"/>
        <v>0</v>
      </c>
      <c r="BH51" s="39">
        <f ca="1">(((BF51+BH50)*(1+'Assumptions Sheet'!AE41)))-BI50+BG51</f>
        <v>26972327.978307586</v>
      </c>
      <c r="BI51" s="39">
        <f ca="1">(IF(BH51&gt;SUM([1]Details!$V$18,[1]Details!$V$19),[1]Details!$V$19,0))</f>
        <v>300000</v>
      </c>
      <c r="BJ51" s="40"/>
      <c r="BK51" s="39">
        <f t="shared" ca="1" si="27"/>
        <v>300000</v>
      </c>
      <c r="BL51" s="39">
        <f ca="1">BK51*(1+'Assumptions Sheet'!AD41)</f>
        <v>315000</v>
      </c>
      <c r="BM51" s="39"/>
      <c r="BN51" s="39">
        <f t="shared" ca="1" si="29"/>
        <v>6384000</v>
      </c>
    </row>
    <row r="52" spans="1:66" ht="14.25" customHeight="1" outlineLevel="1" x14ac:dyDescent="0.3">
      <c r="A52" s="15"/>
      <c r="B52" s="15">
        <v>41</v>
      </c>
      <c r="C52" s="42">
        <f t="shared" si="17"/>
        <v>41</v>
      </c>
      <c r="E52" s="43">
        <f ca="1">E51*(1+'Assumptions Sheet'!E41)</f>
        <v>4144518.9027954554</v>
      </c>
      <c r="F52" s="43">
        <f ca="1">F51*(1+'Assumptions Sheet'!F41)</f>
        <v>0</v>
      </c>
      <c r="G52" s="43">
        <f ca="1">G51*(1+'Assumptions Sheet'!G41)</f>
        <v>16715.775542409861</v>
      </c>
      <c r="H52" s="43">
        <f ca="1">H51*(1+'Assumptions Sheet'!H41)</f>
        <v>0</v>
      </c>
      <c r="I52" s="43"/>
      <c r="J52" s="43"/>
      <c r="K52" s="43"/>
      <c r="L52" s="43"/>
      <c r="M52" s="43"/>
      <c r="N52" s="43">
        <f t="shared" ca="1" si="28"/>
        <v>4161234.6783378655</v>
      </c>
      <c r="O52" s="40"/>
      <c r="P52" s="43"/>
      <c r="Q52" s="43">
        <f t="shared" si="3"/>
        <v>0</v>
      </c>
      <c r="R52" s="43">
        <f ca="1">R51*(1+'Assumptions Sheet'!Q41)</f>
        <v>87978.142844396032</v>
      </c>
      <c r="S52" s="43">
        <f ca="1">S51*(1+'Assumptions Sheet'!P41)</f>
        <v>91943.666944368975</v>
      </c>
      <c r="T52" s="43">
        <f ca="1">T51*('Assumptions Sheet'!Q41+1)</f>
        <v>58652.095229597347</v>
      </c>
      <c r="U52" s="43">
        <f ca="1">U51*('Assumptions Sheet'!S41+1)</f>
        <v>13672.608412528547</v>
      </c>
      <c r="V52" s="43">
        <f ca="1">V51*(1+'Assumptions Sheet'!Q41)</f>
        <v>117304.19045919469</v>
      </c>
      <c r="W52" s="43">
        <f ca="1">W51*(1+'Assumptions Sheet'!R41)</f>
        <v>61192.144809821148</v>
      </c>
      <c r="X52" s="43">
        <f ca="1">X51*(1+'Assumptions Sheet'!O41)</f>
        <v>262003.82664379533</v>
      </c>
      <c r="Y52" s="43">
        <f t="shared" si="18"/>
        <v>12000</v>
      </c>
      <c r="Z52" s="43">
        <f ca="1">'Assumptions Sheet'!V42</f>
        <v>10000</v>
      </c>
      <c r="AA52" s="41">
        <f t="shared" ca="1" si="5"/>
        <v>714746.67534370208</v>
      </c>
      <c r="AB52" s="40"/>
      <c r="AC52" s="43">
        <f t="shared" ca="1" si="23"/>
        <v>4161234.6783378655</v>
      </c>
      <c r="AD52" s="43">
        <f t="shared" ca="1" si="7"/>
        <v>714746.67534370208</v>
      </c>
      <c r="AE52" s="39">
        <f t="shared" ca="1" si="8"/>
        <v>3446488.0029941634</v>
      </c>
      <c r="AF52" s="43" t="str" cm="1">
        <f t="array" aca="1" ref="AF52" ca="1">_xlfn.IFS(AE52&lt;0,"Withdrawal From Savings A/C",AND(AE52&gt;0,BH51&lt;[1]Details!$V$18),"Transfer to Emergency Fund",AE52&gt;$AG$29,"Investment Possible",AND(AE52&gt;0,BH51&gt;[1]Details!$V$18),"Investment Possible With Bal")</f>
        <v>Investment Possible</v>
      </c>
      <c r="AG52" s="43" cm="1">
        <f t="array" aca="1" ref="AG52" ca="1">_xlfn.IFS(OR(AF52="Withdrawal From Savings A/C",AF52="Transfer to Emergency Fund"),0,AF52= "Investment Possible With Bal",AE52,AF52= "Investment Possible",MAX($AG$29,$AG51*(1+$AH$25)))</f>
        <v>296009.99777032697</v>
      </c>
      <c r="AH52" s="43">
        <f t="shared" ca="1" si="30"/>
        <v>3150478.0052238363</v>
      </c>
      <c r="AI52" s="40"/>
      <c r="AJ52" s="42">
        <f>'Calc Engine'!$C52</f>
        <v>41</v>
      </c>
      <c r="AK52" s="43">
        <f t="shared" ca="1" si="9"/>
        <v>296009.99777032697</v>
      </c>
      <c r="AL52" s="43">
        <f t="shared" ca="1" si="20"/>
        <v>2856109.9754735939</v>
      </c>
      <c r="AM52" s="40"/>
      <c r="AN52" s="43">
        <f t="shared" ca="1" si="21"/>
        <v>29600.999777032699</v>
      </c>
      <c r="AO52" s="43">
        <f ca="1">(AN52+AQ51)*(1+'Assumptions Sheet'!AA42)</f>
        <v>-994034.92242207285</v>
      </c>
      <c r="AP52" s="39">
        <f>_xlfn.XLOOKUP(AJ52,[1]Details!$L$14:$L$23,[1]Details!$M$14:$M$23,0,0,1)</f>
        <v>0</v>
      </c>
      <c r="AQ52" s="43">
        <f t="shared" ca="1" si="24"/>
        <v>-994034.92242207285</v>
      </c>
      <c r="AR52" s="40"/>
      <c r="AS52" s="43">
        <f t="shared" ca="1" si="22"/>
        <v>29600.999777032699</v>
      </c>
      <c r="AT52" s="43">
        <f ca="1">(AV51+AS52)*(1+'Assumptions Sheet'!AB42)</f>
        <v>-859962.92981679819</v>
      </c>
      <c r="AU52" s="39">
        <f>_xlfn.XLOOKUP(AJ52,[1]Details!$L$14:$L$23,[1]Details!$N$14:$N$23,0,0,1)</f>
        <v>0</v>
      </c>
      <c r="AV52" s="43">
        <f t="shared" ca="1" si="11"/>
        <v>-859962.92981679819</v>
      </c>
      <c r="AW52" s="40"/>
      <c r="AX52" s="43">
        <f t="shared" ca="1" si="12"/>
        <v>236807.99821626159</v>
      </c>
      <c r="AY52" s="43">
        <f ca="1">(AX52+BA51)*(1+'Assumptions Sheet'!AC42)</f>
        <v>6272047.2157803196</v>
      </c>
      <c r="AZ52" s="39">
        <f>_xlfn.XLOOKUP(AJ52,[1]Details!$L$14:$L$23,[1]Details!$O$14:$O$23,0,0,1)</f>
        <v>0</v>
      </c>
      <c r="BA52" s="43">
        <f t="shared" ca="1" si="25"/>
        <v>6272047.2157803196</v>
      </c>
      <c r="BB52" s="40"/>
      <c r="BC52" s="43">
        <f t="shared" ca="1" si="14"/>
        <v>296009.99777032697</v>
      </c>
      <c r="BD52" s="43">
        <f t="shared" ca="1" si="26"/>
        <v>565109.99574335152</v>
      </c>
      <c r="BF52" s="39">
        <f t="shared" ca="1" si="15"/>
        <v>3150478.0052238363</v>
      </c>
      <c r="BG52" s="39">
        <f t="shared" ca="1" si="16"/>
        <v>0</v>
      </c>
      <c r="BH52" s="39">
        <f ca="1">(((BF52+BH51)*(1+'Assumptions Sheet'!AE42)))-BI51+BG52</f>
        <v>30726490.163037367</v>
      </c>
      <c r="BI52" s="39">
        <f ca="1">(IF(BH52&gt;SUM([1]Details!$V$18,[1]Details!$V$19),[1]Details!$V$19,0))</f>
        <v>300000</v>
      </c>
      <c r="BJ52" s="40"/>
      <c r="BK52" s="43">
        <f t="shared" ca="1" si="27"/>
        <v>300000</v>
      </c>
      <c r="BL52" s="43">
        <f ca="1">BK52*(1+'Assumptions Sheet'!AD42)</f>
        <v>315000</v>
      </c>
      <c r="BM52" s="43"/>
      <c r="BN52" s="39">
        <f t="shared" ca="1" si="29"/>
        <v>6699000</v>
      </c>
    </row>
    <row r="53" spans="1:66" ht="14.25" customHeight="1" outlineLevel="1" x14ac:dyDescent="0.3">
      <c r="A53" s="15"/>
      <c r="B53" s="15">
        <v>42</v>
      </c>
      <c r="C53" s="38">
        <f t="shared" si="17"/>
        <v>42</v>
      </c>
      <c r="E53" s="39">
        <f ca="1">E52*(1+'Assumptions Sheet'!E42)</f>
        <v>4558970.7930750009</v>
      </c>
      <c r="F53" s="39">
        <f ca="1">F52*(1+'Assumptions Sheet'!F42)</f>
        <v>0</v>
      </c>
      <c r="G53" s="39">
        <f ca="1">G52*(1+'Assumptions Sheet'!G42)</f>
        <v>17551.564319530356</v>
      </c>
      <c r="H53" s="39">
        <f ca="1">H52*(1+'Assumptions Sheet'!H42)</f>
        <v>0</v>
      </c>
      <c r="I53" s="39"/>
      <c r="J53" s="39"/>
      <c r="K53" s="39"/>
      <c r="L53" s="39"/>
      <c r="M53" s="39"/>
      <c r="N53" s="39">
        <f t="shared" ca="1" si="28"/>
        <v>4576522.3573945314</v>
      </c>
      <c r="O53" s="40"/>
      <c r="P53" s="39"/>
      <c r="Q53" s="39">
        <f t="shared" si="3"/>
        <v>0</v>
      </c>
      <c r="R53" s="39">
        <f ca="1">R52*(1+'Assumptions Sheet'!Q42)</f>
        <v>95016.39427194772</v>
      </c>
      <c r="S53" s="39">
        <f ca="1">S52*(1+'Assumptions Sheet'!P42)</f>
        <v>95621.413622143737</v>
      </c>
      <c r="T53" s="39">
        <f ca="1">T52*('Assumptions Sheet'!Q42+1)</f>
        <v>63344.262847965139</v>
      </c>
      <c r="U53" s="39">
        <f ca="1">U52*('Assumptions Sheet'!S42+1)</f>
        <v>14219.512749029689</v>
      </c>
      <c r="V53" s="39">
        <f ca="1">V52*(1+'Assumptions Sheet'!Q42)</f>
        <v>126688.52569593028</v>
      </c>
      <c r="W53" s="39">
        <f ca="1">W52*(1+'Assumptions Sheet'!R42)</f>
        <v>64863.673498410419</v>
      </c>
      <c r="X53" s="39">
        <f ca="1">X52*(1+'Assumptions Sheet'!O42)</f>
        <v>275104.01797598513</v>
      </c>
      <c r="Y53" s="39">
        <f t="shared" si="18"/>
        <v>12000</v>
      </c>
      <c r="Z53" s="39">
        <f ca="1">'Assumptions Sheet'!V43</f>
        <v>15000</v>
      </c>
      <c r="AA53" s="41">
        <f t="shared" ca="1" si="5"/>
        <v>761857.80066141218</v>
      </c>
      <c r="AB53" s="40"/>
      <c r="AC53" s="39">
        <f t="shared" ca="1" si="23"/>
        <v>4576522.3573945314</v>
      </c>
      <c r="AD53" s="39">
        <f t="shared" ca="1" si="7"/>
        <v>761857.80066141218</v>
      </c>
      <c r="AE53" s="39">
        <f t="shared" ca="1" si="8"/>
        <v>3814664.5567331193</v>
      </c>
      <c r="AF53" s="39" t="str" cm="1">
        <f t="array" aca="1" ref="AF53" ca="1">_xlfn.IFS(AE53&lt;0,"Withdrawal From Savings A/C",AND(AE53&gt;0,BH52&lt;[1]Details!$V$18),"Transfer to Emergency Fund",AE53&gt;$AG$29,"Investment Possible",AND(AE53&gt;0,BH52&gt;[1]Details!$V$18),"Investment Possible With Bal")</f>
        <v>Investment Possible</v>
      </c>
      <c r="AG53" s="39" cm="1">
        <f t="array" aca="1" ref="AG53" ca="1">_xlfn.IFS(OR(AF53="Withdrawal From Savings A/C",AF53="Transfer to Emergency Fund"),0,AF53= "Investment Possible With Bal",AE53,AF53= "Investment Possible",MAX($AG$29,$AG52*(1+$AH$25)))</f>
        <v>325610.99754735967</v>
      </c>
      <c r="AH53" s="39">
        <f t="shared" ca="1" si="30"/>
        <v>3489053.5591857596</v>
      </c>
      <c r="AI53" s="40"/>
      <c r="AJ53" s="38">
        <f>'Calc Engine'!$C53</f>
        <v>42</v>
      </c>
      <c r="AK53" s="39">
        <f t="shared" ca="1" si="9"/>
        <v>325610.99754735967</v>
      </c>
      <c r="AL53" s="39">
        <f t="shared" ca="1" si="20"/>
        <v>3181720.9730209536</v>
      </c>
      <c r="AM53" s="40"/>
      <c r="AN53" s="39">
        <f t="shared" ca="1" si="21"/>
        <v>32561.099754735969</v>
      </c>
      <c r="AO53" s="39">
        <f ca="1">(AN53+AQ52)*(1+'Assumptions Sheet'!AA43)</f>
        <v>-1076850.6813874175</v>
      </c>
      <c r="AP53" s="39">
        <f>_xlfn.XLOOKUP(AJ53,[1]Details!$L$14:$L$23,[1]Details!$M$14:$M$23,0,0,1)</f>
        <v>430000</v>
      </c>
      <c r="AQ53" s="39">
        <f t="shared" ca="1" si="24"/>
        <v>-1506850.6813874175</v>
      </c>
      <c r="AR53" s="40"/>
      <c r="AS53" s="39">
        <f t="shared" ca="1" si="22"/>
        <v>32561.099754735969</v>
      </c>
      <c r="AT53" s="39">
        <f ca="1">(AV52+AS53)*(1+'Assumptions Sheet'!AB43)</f>
        <v>-943238.08627075108</v>
      </c>
      <c r="AU53" s="39">
        <f>_xlfn.XLOOKUP(AJ53,[1]Details!$L$14:$L$23,[1]Details!$N$14:$N$23,0,0,1)</f>
        <v>0</v>
      </c>
      <c r="AV53" s="39">
        <f t="shared" ca="1" si="11"/>
        <v>-943238.08627075108</v>
      </c>
      <c r="AW53" s="40"/>
      <c r="AX53" s="39">
        <f t="shared" ca="1" si="12"/>
        <v>260488.79803788775</v>
      </c>
      <c r="AY53" s="39">
        <f ca="1">(AX53+BA52)*(1+'Assumptions Sheet'!AC43)</f>
        <v>7577741.7760291202</v>
      </c>
      <c r="AZ53" s="39">
        <f>_xlfn.XLOOKUP(AJ53,[1]Details!$L$14:$L$23,[1]Details!$O$14:$O$23,0,0,1)</f>
        <v>0</v>
      </c>
      <c r="BA53" s="39">
        <f t="shared" ca="1" si="25"/>
        <v>7577741.7760291202</v>
      </c>
      <c r="BB53" s="40"/>
      <c r="BC53" s="39">
        <f t="shared" ca="1" si="14"/>
        <v>325610.99754735967</v>
      </c>
      <c r="BD53" s="39">
        <f t="shared" ca="1" si="26"/>
        <v>621620.99531768658</v>
      </c>
      <c r="BF53" s="39">
        <f t="shared" ca="1" si="15"/>
        <v>3489053.5591857596</v>
      </c>
      <c r="BG53" s="39">
        <f t="shared" ca="1" si="16"/>
        <v>0</v>
      </c>
      <c r="BH53" s="39">
        <f ca="1">(((BF53+BH52)*(1+'Assumptions Sheet'!AE43)))-BI52+BG53</f>
        <v>34942010.033889823</v>
      </c>
      <c r="BI53" s="39">
        <f ca="1">(IF(BH53&gt;SUM([1]Details!$V$18,[1]Details!$V$19),[1]Details!$V$19,0))</f>
        <v>300000</v>
      </c>
      <c r="BJ53" s="40"/>
      <c r="BK53" s="39">
        <f t="shared" ca="1" si="27"/>
        <v>300000</v>
      </c>
      <c r="BL53" s="39">
        <f ca="1">BK53*(1+'Assumptions Sheet'!AD43)</f>
        <v>315000</v>
      </c>
      <c r="BM53" s="39"/>
      <c r="BN53" s="39">
        <f t="shared" ca="1" si="29"/>
        <v>7014000</v>
      </c>
    </row>
    <row r="54" spans="1:66" ht="14.25" customHeight="1" outlineLevel="1" x14ac:dyDescent="0.3">
      <c r="A54" s="15"/>
      <c r="B54" s="15">
        <v>43</v>
      </c>
      <c r="C54" s="42">
        <f t="shared" si="17"/>
        <v>43</v>
      </c>
      <c r="E54" s="43">
        <f ca="1">E53*(1+'Assumptions Sheet'!E43)</f>
        <v>4878098.7485902514</v>
      </c>
      <c r="F54" s="43">
        <f ca="1">F53*(1+'Assumptions Sheet'!F43)</f>
        <v>0</v>
      </c>
      <c r="G54" s="43">
        <f ca="1">G53*(1+'Assumptions Sheet'!G43)</f>
        <v>18429.142535506875</v>
      </c>
      <c r="H54" s="43">
        <f ca="1">H53*(1+'Assumptions Sheet'!H43)</f>
        <v>0</v>
      </c>
      <c r="I54" s="43"/>
      <c r="J54" s="43"/>
      <c r="K54" s="43"/>
      <c r="L54" s="43"/>
      <c r="M54" s="43"/>
      <c r="N54" s="43">
        <f t="shared" ca="1" si="28"/>
        <v>4896527.8911257582</v>
      </c>
      <c r="O54" s="40"/>
      <c r="P54" s="43"/>
      <c r="Q54" s="43">
        <f t="shared" si="3"/>
        <v>0</v>
      </c>
      <c r="R54" s="43">
        <f ca="1">R53*(1+'Assumptions Sheet'!Q43)</f>
        <v>99767.21398554511</v>
      </c>
      <c r="S54" s="43">
        <f ca="1">S53*(1+'Assumptions Sheet'!P43)</f>
        <v>100402.48430325092</v>
      </c>
      <c r="T54" s="43">
        <f ca="1">T53*('Assumptions Sheet'!Q43+1)</f>
        <v>66511.475990363397</v>
      </c>
      <c r="U54" s="43">
        <f ca="1">U53*('Assumptions Sheet'!S43+1)</f>
        <v>14788.293258990878</v>
      </c>
      <c r="V54" s="43">
        <f ca="1">V53*(1+'Assumptions Sheet'!Q43)</f>
        <v>133022.95198072679</v>
      </c>
      <c r="W54" s="43">
        <f ca="1">W53*(1+'Assumptions Sheet'!R43)</f>
        <v>68755.493908315053</v>
      </c>
      <c r="X54" s="43">
        <f ca="1">X53*(1+'Assumptions Sheet'!O43)</f>
        <v>291610.25905454427</v>
      </c>
      <c r="Y54" s="43">
        <f t="shared" si="18"/>
        <v>12000</v>
      </c>
      <c r="Z54" s="43">
        <f ca="1">'Assumptions Sheet'!V44</f>
        <v>10000</v>
      </c>
      <c r="AA54" s="41">
        <f t="shared" ca="1" si="5"/>
        <v>796858.1724817364</v>
      </c>
      <c r="AB54" s="40"/>
      <c r="AC54" s="43">
        <f t="shared" ca="1" si="23"/>
        <v>4896527.8911257582</v>
      </c>
      <c r="AD54" s="43">
        <f t="shared" ca="1" si="7"/>
        <v>796858.1724817364</v>
      </c>
      <c r="AE54" s="39">
        <f t="shared" ca="1" si="8"/>
        <v>4099669.718644022</v>
      </c>
      <c r="AF54" s="43" t="str" cm="1">
        <f t="array" aca="1" ref="AF54" ca="1">_xlfn.IFS(AE54&lt;0,"Withdrawal From Savings A/C",AND(AE54&gt;0,BH53&lt;[1]Details!$V$18),"Transfer to Emergency Fund",AE54&gt;$AG$29,"Investment Possible",AND(AE54&gt;0,BH53&gt;[1]Details!$V$18),"Investment Possible With Bal")</f>
        <v>Investment Possible</v>
      </c>
      <c r="AG54" s="43" cm="1">
        <f t="array" aca="1" ref="AG54" ca="1">_xlfn.IFS(OR(AF54="Withdrawal From Savings A/C",AF54="Transfer to Emergency Fund"),0,AF54= "Investment Possible With Bal",AE54,AF54= "Investment Possible",MAX($AG$29,$AG53*(1+$AH$25)))</f>
        <v>358172.09730209567</v>
      </c>
      <c r="AH54" s="43">
        <f t="shared" ca="1" si="30"/>
        <v>3741497.6213419265</v>
      </c>
      <c r="AI54" s="40"/>
      <c r="AJ54" s="42">
        <f>'Calc Engine'!$C54</f>
        <v>43</v>
      </c>
      <c r="AK54" s="43">
        <f t="shared" ca="1" si="9"/>
        <v>358172.09730209567</v>
      </c>
      <c r="AL54" s="43">
        <f t="shared" ca="1" si="20"/>
        <v>3539893.0703230491</v>
      </c>
      <c r="AM54" s="40"/>
      <c r="AN54" s="43">
        <f t="shared" ca="1" si="21"/>
        <v>35817.209730209572</v>
      </c>
      <c r="AO54" s="43">
        <f ca="1">(AN54+AQ53)*(1+'Assumptions Sheet'!AA44)</f>
        <v>-1676978.1576892172</v>
      </c>
      <c r="AP54" s="39">
        <f>_xlfn.XLOOKUP(AJ54,[1]Details!$L$14:$L$23,[1]Details!$M$14:$M$23,0,0,1)</f>
        <v>0</v>
      </c>
      <c r="AQ54" s="43">
        <f t="shared" ca="1" si="24"/>
        <v>-1676978.1576892172</v>
      </c>
      <c r="AR54" s="40"/>
      <c r="AS54" s="43">
        <f t="shared" ca="1" si="22"/>
        <v>35817.209730209572</v>
      </c>
      <c r="AT54" s="43">
        <f ca="1">(AV53+AS54)*(1+'Assumptions Sheet'!AB44)</f>
        <v>-1052608.2167870281</v>
      </c>
      <c r="AU54" s="39">
        <f>_xlfn.XLOOKUP(AJ54,[1]Details!$L$14:$L$23,[1]Details!$N$14:$N$23,0,0,1)</f>
        <v>0</v>
      </c>
      <c r="AV54" s="43">
        <f t="shared" ca="1" si="11"/>
        <v>-1052608.2167870281</v>
      </c>
      <c r="AW54" s="40"/>
      <c r="AX54" s="43">
        <f t="shared" ca="1" si="12"/>
        <v>286537.67784167657</v>
      </c>
      <c r="AY54" s="43">
        <f ca="1">(AX54+BA53)*(1+'Assumptions Sheet'!AC44)</f>
        <v>9437135.3446449563</v>
      </c>
      <c r="AZ54" s="39">
        <f>_xlfn.XLOOKUP(AJ54,[1]Details!$L$14:$L$23,[1]Details!$O$14:$O$23,0,0,1)</f>
        <v>0</v>
      </c>
      <c r="BA54" s="43">
        <f t="shared" ca="1" si="25"/>
        <v>9437135.3446449563</v>
      </c>
      <c r="BB54" s="40"/>
      <c r="BC54" s="43">
        <f t="shared" ca="1" si="14"/>
        <v>358172.09730209567</v>
      </c>
      <c r="BD54" s="43">
        <f t="shared" ca="1" si="26"/>
        <v>683783.0948494554</v>
      </c>
      <c r="BF54" s="39">
        <f t="shared" ca="1" si="15"/>
        <v>3741497.6213419265</v>
      </c>
      <c r="BG54" s="39">
        <f t="shared" ca="1" si="16"/>
        <v>0</v>
      </c>
      <c r="BH54" s="39">
        <f ca="1">(((BF54+BH53)*(1+'Assumptions Sheet'!AE44)))-BI53+BG54</f>
        <v>39544012.884888709</v>
      </c>
      <c r="BI54" s="39">
        <f ca="1">(IF(BH54&gt;SUM([1]Details!$V$18,[1]Details!$V$19),[1]Details!$V$19,0))</f>
        <v>300000</v>
      </c>
      <c r="BJ54" s="40"/>
      <c r="BK54" s="43">
        <f t="shared" ca="1" si="27"/>
        <v>300000</v>
      </c>
      <c r="BL54" s="43">
        <f ca="1">BK54*(1+'Assumptions Sheet'!AD44)</f>
        <v>315000</v>
      </c>
      <c r="BM54" s="43"/>
      <c r="BN54" s="39">
        <f t="shared" ca="1" si="29"/>
        <v>7329000</v>
      </c>
    </row>
    <row r="55" spans="1:66" ht="14.25" customHeight="1" outlineLevel="1" x14ac:dyDescent="0.3">
      <c r="A55" s="15"/>
      <c r="B55" s="15">
        <v>44</v>
      </c>
      <c r="C55" s="38">
        <f t="shared" si="17"/>
        <v>44</v>
      </c>
      <c r="E55" s="39">
        <f ca="1">E54*(1+'Assumptions Sheet'!E44)</f>
        <v>5365908.6234492771</v>
      </c>
      <c r="F55" s="39">
        <f ca="1">F54*(1+'Assumptions Sheet'!F44)</f>
        <v>0</v>
      </c>
      <c r="G55" s="39">
        <f ca="1">G54*(1+'Assumptions Sheet'!G44)</f>
        <v>19350.59966228222</v>
      </c>
      <c r="H55" s="39">
        <f ca="1">H54*(1+'Assumptions Sheet'!H44)</f>
        <v>0</v>
      </c>
      <c r="I55" s="39"/>
      <c r="J55" s="39"/>
      <c r="K55" s="39"/>
      <c r="L55" s="39"/>
      <c r="M55" s="39"/>
      <c r="N55" s="39">
        <f t="shared" ca="1" si="28"/>
        <v>5385259.2231115596</v>
      </c>
      <c r="O55" s="40"/>
      <c r="P55" s="39"/>
      <c r="Q55" s="39">
        <f t="shared" si="3"/>
        <v>0</v>
      </c>
      <c r="R55" s="39">
        <f ca="1">R54*(1+'Assumptions Sheet'!Q44)</f>
        <v>107748.59110438873</v>
      </c>
      <c r="S55" s="39">
        <f ca="1">S54*(1+'Assumptions Sheet'!P44)</f>
        <v>104418.58367538097</v>
      </c>
      <c r="T55" s="39">
        <f ca="1">T54*('Assumptions Sheet'!Q44+1)</f>
        <v>71832.394069592468</v>
      </c>
      <c r="U55" s="39">
        <f ca="1">U54*('Assumptions Sheet'!S44+1)</f>
        <v>15379.824989350513</v>
      </c>
      <c r="V55" s="39">
        <f ca="1">V54*(1+'Assumptions Sheet'!Q44)</f>
        <v>143664.78813918494</v>
      </c>
      <c r="W55" s="39">
        <f ca="1">W54*(1+'Assumptions Sheet'!R44)</f>
        <v>72880.82354281396</v>
      </c>
      <c r="X55" s="39">
        <f ca="1">X54*(1+'Assumptions Sheet'!O44)</f>
        <v>306190.77200727147</v>
      </c>
      <c r="Y55" s="39">
        <f t="shared" si="18"/>
        <v>12000</v>
      </c>
      <c r="Z55" s="39">
        <f ca="1">'Assumptions Sheet'!V45</f>
        <v>30000</v>
      </c>
      <c r="AA55" s="41">
        <f t="shared" ca="1" si="5"/>
        <v>864115.77752798307</v>
      </c>
      <c r="AB55" s="40"/>
      <c r="AC55" s="39">
        <f t="shared" ca="1" si="23"/>
        <v>5385259.2231115596</v>
      </c>
      <c r="AD55" s="39">
        <f t="shared" ca="1" si="7"/>
        <v>864115.77752798307</v>
      </c>
      <c r="AE55" s="39">
        <f t="shared" ca="1" si="8"/>
        <v>4521143.4455835763</v>
      </c>
      <c r="AF55" s="39" t="str" cm="1">
        <f t="array" aca="1" ref="AF55" ca="1">_xlfn.IFS(AE55&lt;0,"Withdrawal From Savings A/C",AND(AE55&gt;0,BH54&lt;[1]Details!$V$18),"Transfer to Emergency Fund",AE55&gt;$AG$29,"Investment Possible",AND(AE55&gt;0,BH54&gt;[1]Details!$V$18),"Investment Possible With Bal")</f>
        <v>Investment Possible</v>
      </c>
      <c r="AG55" s="39" cm="1">
        <f t="array" aca="1" ref="AG55" ca="1">_xlfn.IFS(OR(AF55="Withdrawal From Savings A/C",AF55="Transfer to Emergency Fund"),0,AF55= "Investment Possible With Bal",AE55,AF55= "Investment Possible",MAX($AG$29,$AG54*(1+$AH$25)))</f>
        <v>393989.30703230528</v>
      </c>
      <c r="AH55" s="39">
        <f t="shared" ca="1" si="30"/>
        <v>4127154.1385512711</v>
      </c>
      <c r="AI55" s="40"/>
      <c r="AJ55" s="38">
        <f>'Calc Engine'!$C55</f>
        <v>44</v>
      </c>
      <c r="AK55" s="39">
        <f t="shared" ca="1" si="9"/>
        <v>393989.30703230528</v>
      </c>
      <c r="AL55" s="39">
        <f t="shared" ca="1" si="20"/>
        <v>3933882.3773553544</v>
      </c>
      <c r="AM55" s="40"/>
      <c r="AN55" s="39">
        <f t="shared" ca="1" si="21"/>
        <v>39398.93070323053</v>
      </c>
      <c r="AO55" s="39">
        <f ca="1">(AN55+AQ54)*(1+'Assumptions Sheet'!AA45)</f>
        <v>-1784961.3574147257</v>
      </c>
      <c r="AP55" s="39">
        <f>_xlfn.XLOOKUP(AJ55,[1]Details!$L$14:$L$23,[1]Details!$M$14:$M$23,0,0,1)</f>
        <v>0</v>
      </c>
      <c r="AQ55" s="39">
        <f t="shared" ca="1" si="24"/>
        <v>-1784961.3574147257</v>
      </c>
      <c r="AR55" s="40"/>
      <c r="AS55" s="39">
        <f t="shared" ca="1" si="22"/>
        <v>39398.93070323053</v>
      </c>
      <c r="AT55" s="39">
        <f ca="1">(AV54+AS55)*(1+'Assumptions Sheet'!AB45)</f>
        <v>-1134794.4004138533</v>
      </c>
      <c r="AU55" s="39">
        <f>_xlfn.XLOOKUP(AJ55,[1]Details!$L$14:$L$23,[1]Details!$N$14:$N$23,0,0,1)</f>
        <v>0</v>
      </c>
      <c r="AV55" s="39">
        <f t="shared" ca="1" si="11"/>
        <v>-1134794.4004138533</v>
      </c>
      <c r="AW55" s="40"/>
      <c r="AX55" s="39">
        <f t="shared" ca="1" si="12"/>
        <v>315191.44562584424</v>
      </c>
      <c r="AY55" s="39">
        <f ca="1">(AX55+BA54)*(1+'Assumptions Sheet'!AC45)</f>
        <v>11117652.540908713</v>
      </c>
      <c r="AZ55" s="39">
        <f>_xlfn.XLOOKUP(AJ55,[1]Details!$L$14:$L$23,[1]Details!$O$14:$O$23,0,0,1)</f>
        <v>0</v>
      </c>
      <c r="BA55" s="39">
        <f t="shared" ca="1" si="25"/>
        <v>11117652.540908713</v>
      </c>
      <c r="BB55" s="40"/>
      <c r="BC55" s="39">
        <f t="shared" ca="1" si="14"/>
        <v>393989.30703230534</v>
      </c>
      <c r="BD55" s="39">
        <f t="shared" ca="1" si="26"/>
        <v>752161.40433440101</v>
      </c>
      <c r="BF55" s="39">
        <f t="shared" ca="1" si="15"/>
        <v>4127154.1385512711</v>
      </c>
      <c r="BG55" s="39">
        <f t="shared" ca="1" si="16"/>
        <v>0</v>
      </c>
      <c r="BH55" s="39">
        <f ca="1">(((BF55+BH54)*(1+'Assumptions Sheet'!AE45)))-BI54+BG55</f>
        <v>44681302.03414318</v>
      </c>
      <c r="BI55" s="39">
        <f ca="1">(IF(BH55&gt;SUM([1]Details!$V$18,[1]Details!$V$19),[1]Details!$V$19,0))</f>
        <v>300000</v>
      </c>
      <c r="BJ55" s="40"/>
      <c r="BK55" s="39">
        <f t="shared" ca="1" si="27"/>
        <v>300000</v>
      </c>
      <c r="BL55" s="39">
        <f ca="1">BK55*(1+'Assumptions Sheet'!AD45)</f>
        <v>315000</v>
      </c>
      <c r="BM55" s="39"/>
      <c r="BN55" s="39">
        <f t="shared" ca="1" si="29"/>
        <v>7644000</v>
      </c>
    </row>
    <row r="56" spans="1:66" ht="14.25" customHeight="1" outlineLevel="1" x14ac:dyDescent="0.3">
      <c r="A56" s="15"/>
      <c r="B56" s="15">
        <v>45</v>
      </c>
      <c r="C56" s="42">
        <f t="shared" si="17"/>
        <v>45</v>
      </c>
      <c r="E56" s="43">
        <f ca="1">E55*(1+'Assumptions Sheet'!E45)</f>
        <v>5580544.968387248</v>
      </c>
      <c r="F56" s="43">
        <f ca="1">F55*(1+'Assumptions Sheet'!F45)</f>
        <v>0</v>
      </c>
      <c r="G56" s="43">
        <f ca="1">G55*(1+'Assumptions Sheet'!G45)</f>
        <v>20318.129645396333</v>
      </c>
      <c r="H56" s="43">
        <f ca="1">H55*(1+'Assumptions Sheet'!H45)</f>
        <v>0</v>
      </c>
      <c r="I56" s="43"/>
      <c r="J56" s="43"/>
      <c r="K56" s="43"/>
      <c r="L56" s="43"/>
      <c r="M56" s="43"/>
      <c r="N56" s="43">
        <f t="shared" ca="1" si="28"/>
        <v>5600863.098032644</v>
      </c>
      <c r="O56" s="40"/>
      <c r="P56" s="43"/>
      <c r="Q56" s="43">
        <f t="shared" si="3"/>
        <v>0</v>
      </c>
      <c r="R56" s="43">
        <f ca="1">R55*(1+'Assumptions Sheet'!Q45)</f>
        <v>118523.45021482761</v>
      </c>
      <c r="S56" s="43">
        <f ca="1">S55*(1+'Assumptions Sheet'!P45)</f>
        <v>111727.88453265764</v>
      </c>
      <c r="T56" s="43">
        <f ca="1">T55*('Assumptions Sheet'!Q45+1)</f>
        <v>79015.633476551724</v>
      </c>
      <c r="U56" s="43">
        <f ca="1">U55*('Assumptions Sheet'!S45+1)</f>
        <v>15995.017988924534</v>
      </c>
      <c r="V56" s="43">
        <f ca="1">V55*(1+'Assumptions Sheet'!Q45)</f>
        <v>158031.26695310345</v>
      </c>
      <c r="W56" s="43">
        <f ca="1">W55*(1+'Assumptions Sheet'!R45)</f>
        <v>77253.672955382805</v>
      </c>
      <c r="X56" s="43">
        <f ca="1">X55*(1+'Assumptions Sheet'!O45)</f>
        <v>330686.03376785322</v>
      </c>
      <c r="Y56" s="43">
        <f t="shared" si="18"/>
        <v>12000</v>
      </c>
      <c r="Z56" s="43">
        <f ca="1">'Assumptions Sheet'!V46</f>
        <v>10000</v>
      </c>
      <c r="AA56" s="41">
        <f t="shared" ca="1" si="5"/>
        <v>913232.9598893011</v>
      </c>
      <c r="AB56" s="40"/>
      <c r="AC56" s="43">
        <f t="shared" ca="1" si="23"/>
        <v>5600863.098032644</v>
      </c>
      <c r="AD56" s="43">
        <f t="shared" ca="1" si="7"/>
        <v>913232.9598893011</v>
      </c>
      <c r="AE56" s="39">
        <f t="shared" ca="1" si="8"/>
        <v>4687630.1381433429</v>
      </c>
      <c r="AF56" s="43" t="str" cm="1">
        <f t="array" aca="1" ref="AF56" ca="1">_xlfn.IFS(AE56&lt;0,"Withdrawal From Savings A/C",AND(AE56&gt;0,BH55&lt;[1]Details!$V$18),"Transfer to Emergency Fund",AE56&gt;$AG$29,"Investment Possible",AND(AE56&gt;0,BH55&gt;[1]Details!$V$18),"Investment Possible With Bal")</f>
        <v>Investment Possible</v>
      </c>
      <c r="AG56" s="43" cm="1">
        <f t="array" aca="1" ref="AG56" ca="1">_xlfn.IFS(OR(AF56="Withdrawal From Savings A/C",AF56="Transfer to Emergency Fund"),0,AF56= "Investment Possible With Bal",AE56,AF56= "Investment Possible",MAX($AG$29,$AG55*(1+$AH$25)))</f>
        <v>433388.23773553583</v>
      </c>
      <c r="AH56" s="43">
        <f t="shared" ca="1" si="30"/>
        <v>4254241.900407807</v>
      </c>
      <c r="AI56" s="40"/>
      <c r="AJ56" s="42">
        <f>'Calc Engine'!$C56</f>
        <v>45</v>
      </c>
      <c r="AK56" s="43">
        <f t="shared" ca="1" si="9"/>
        <v>433388.23773553583</v>
      </c>
      <c r="AL56" s="43">
        <f t="shared" ca="1" si="20"/>
        <v>4367270.6150908899</v>
      </c>
      <c r="AM56" s="40"/>
      <c r="AN56" s="43">
        <f t="shared" ca="1" si="21"/>
        <v>43338.823773553588</v>
      </c>
      <c r="AO56" s="43">
        <f ca="1">(AN56+AQ55)*(1+'Assumptions Sheet'!AA46)</f>
        <v>-1985449.6883509364</v>
      </c>
      <c r="AP56" s="39">
        <f>_xlfn.XLOOKUP(AJ56,[1]Details!$L$14:$L$23,[1]Details!$M$14:$M$23,0,0,1)</f>
        <v>0</v>
      </c>
      <c r="AQ56" s="43">
        <f t="shared" ca="1" si="24"/>
        <v>-1985449.6883509364</v>
      </c>
      <c r="AR56" s="40"/>
      <c r="AS56" s="43">
        <f t="shared" ca="1" si="22"/>
        <v>43338.823773553588</v>
      </c>
      <c r="AT56" s="43">
        <f ca="1">(AV55+AS56)*(1+'Assumptions Sheet'!AB46)</f>
        <v>-1266088.4689027476</v>
      </c>
      <c r="AU56" s="39">
        <f>_xlfn.XLOOKUP(AJ56,[1]Details!$L$14:$L$23,[1]Details!$N$14:$N$23,0,0,1)</f>
        <v>0</v>
      </c>
      <c r="AV56" s="43">
        <f t="shared" ca="1" si="11"/>
        <v>-1266088.4689027476</v>
      </c>
      <c r="AW56" s="40"/>
      <c r="AX56" s="43">
        <f t="shared" ca="1" si="12"/>
        <v>346710.5901884287</v>
      </c>
      <c r="AY56" s="43">
        <f ca="1">(AX56+BA55)*(1+'Assumptions Sheet'!AC46)</f>
        <v>13757235.757316569</v>
      </c>
      <c r="AZ56" s="39">
        <f>_xlfn.XLOOKUP(AJ56,[1]Details!$L$14:$L$23,[1]Details!$O$14:$O$23,0,0,1)</f>
        <v>0</v>
      </c>
      <c r="BA56" s="43">
        <f t="shared" ca="1" si="25"/>
        <v>13757235.757316569</v>
      </c>
      <c r="BB56" s="40"/>
      <c r="BC56" s="43">
        <f t="shared" ca="1" si="14"/>
        <v>433388.23773553589</v>
      </c>
      <c r="BD56" s="43">
        <f t="shared" ca="1" si="26"/>
        <v>827377.54476784123</v>
      </c>
      <c r="BF56" s="39">
        <f t="shared" ca="1" si="15"/>
        <v>4254241.900407807</v>
      </c>
      <c r="BG56" s="39">
        <f t="shared" ca="1" si="16"/>
        <v>0</v>
      </c>
      <c r="BH56" s="39">
        <f ca="1">(((BF56+BH55)*(1+'Assumptions Sheet'!AE46)))-BI55+BG56</f>
        <v>50103610.25258752</v>
      </c>
      <c r="BI56" s="39">
        <f ca="1">(IF(BH56&gt;SUM([1]Details!$V$18,[1]Details!$V$19),[1]Details!$V$19,0))</f>
        <v>300000</v>
      </c>
      <c r="BJ56" s="40"/>
      <c r="BK56" s="43">
        <f t="shared" ca="1" si="27"/>
        <v>300000</v>
      </c>
      <c r="BL56" s="43">
        <f ca="1">BK56*(1+'Assumptions Sheet'!AD46)</f>
        <v>315000</v>
      </c>
      <c r="BM56" s="43"/>
      <c r="BN56" s="39">
        <f t="shared" ca="1" si="29"/>
        <v>7959000</v>
      </c>
    </row>
    <row r="57" spans="1:66" ht="14.25" customHeight="1" outlineLevel="1" x14ac:dyDescent="0.3">
      <c r="A57" s="15"/>
      <c r="B57" s="15">
        <v>46</v>
      </c>
      <c r="C57" s="38">
        <f t="shared" si="17"/>
        <v>46</v>
      </c>
      <c r="E57" s="39">
        <f ca="1">E56*(1+'Assumptions Sheet'!E46)</f>
        <v>6138599.4652259732</v>
      </c>
      <c r="F57" s="39">
        <f ca="1">F56*(1+'Assumptions Sheet'!F46)</f>
        <v>0</v>
      </c>
      <c r="G57" s="39">
        <f ca="1">G56*(1+'Assumptions Sheet'!G46)</f>
        <v>21334.03612766615</v>
      </c>
      <c r="H57" s="39">
        <f ca="1">H56*(1+'Assumptions Sheet'!H46)</f>
        <v>0</v>
      </c>
      <c r="I57" s="39"/>
      <c r="J57" s="39"/>
      <c r="K57" s="39"/>
      <c r="L57" s="39"/>
      <c r="M57" s="39"/>
      <c r="N57" s="39">
        <f t="shared" ca="1" si="28"/>
        <v>6159933.5013536392</v>
      </c>
      <c r="O57" s="40"/>
      <c r="P57" s="39"/>
      <c r="Q57" s="39">
        <f t="shared" si="3"/>
        <v>0</v>
      </c>
      <c r="R57" s="39">
        <f ca="1">R56*(1+'Assumptions Sheet'!Q46)</f>
        <v>128005.32623201383</v>
      </c>
      <c r="S57" s="39">
        <f ca="1">S56*(1+'Assumptions Sheet'!P46)</f>
        <v>116196.99991396395</v>
      </c>
      <c r="T57" s="39">
        <f ca="1">T56*('Assumptions Sheet'!Q46+1)</f>
        <v>85336.884154675863</v>
      </c>
      <c r="U57" s="39">
        <f ca="1">U56*('Assumptions Sheet'!S46+1)</f>
        <v>16634.818708481514</v>
      </c>
      <c r="V57" s="39">
        <f ca="1">V56*(1+'Assumptions Sheet'!Q46)</f>
        <v>170673.76830935173</v>
      </c>
      <c r="W57" s="39">
        <f ca="1">W56*(1+'Assumptions Sheet'!R46)</f>
        <v>81888.893332705775</v>
      </c>
      <c r="X57" s="39">
        <f ca="1">X56*(1+'Assumptions Sheet'!O46)</f>
        <v>347220.33545624593</v>
      </c>
      <c r="Y57" s="39">
        <f t="shared" si="18"/>
        <v>12000</v>
      </c>
      <c r="Z57" s="39">
        <f ca="1">'Assumptions Sheet'!V47</f>
        <v>10000</v>
      </c>
      <c r="AA57" s="41">
        <f t="shared" ca="1" si="5"/>
        <v>967957.02610743849</v>
      </c>
      <c r="AB57" s="40"/>
      <c r="AC57" s="39">
        <f t="shared" ca="1" si="23"/>
        <v>6159933.5013536392</v>
      </c>
      <c r="AD57" s="39">
        <f t="shared" ca="1" si="7"/>
        <v>967957.02610743849</v>
      </c>
      <c r="AE57" s="39">
        <f t="shared" ca="1" si="8"/>
        <v>5191976.4752462003</v>
      </c>
      <c r="AF57" s="39" t="str" cm="1">
        <f t="array" aca="1" ref="AF57" ca="1">_xlfn.IFS(AE57&lt;0,"Withdrawal From Savings A/C",AND(AE57&gt;0,BH56&lt;[1]Details!$V$18),"Transfer to Emergency Fund",AE57&gt;$AG$29,"Investment Possible",AND(AE57&gt;0,BH56&gt;[1]Details!$V$18),"Investment Possible With Bal")</f>
        <v>Investment Possible</v>
      </c>
      <c r="AG57" s="39" cm="1">
        <f t="array" aca="1" ref="AG57" ca="1">_xlfn.IFS(OR(AF57="Withdrawal From Savings A/C",AF57="Transfer to Emergency Fund"),0,AF57= "Investment Possible With Bal",AE57,AF57= "Investment Possible",MAX($AG$29,$AG56*(1+$AH$25)))</f>
        <v>476727.06150908943</v>
      </c>
      <c r="AH57" s="39">
        <f t="shared" ca="1" si="30"/>
        <v>4715249.4137371108</v>
      </c>
      <c r="AI57" s="40"/>
      <c r="AJ57" s="38">
        <f>'Calc Engine'!$C57</f>
        <v>46</v>
      </c>
      <c r="AK57" s="39">
        <f t="shared" ca="1" si="9"/>
        <v>476727.06150908943</v>
      </c>
      <c r="AL57" s="39">
        <f t="shared" ca="1" si="20"/>
        <v>4843997.6765999794</v>
      </c>
      <c r="AM57" s="40"/>
      <c r="AN57" s="39">
        <f t="shared" ca="1" si="21"/>
        <v>47672.706150908947</v>
      </c>
      <c r="AO57" s="39">
        <f ca="1">(AN57+AQ56)*(1+'Assumptions Sheet'!AA47)</f>
        <v>-2209065.7597080315</v>
      </c>
      <c r="AP57" s="39">
        <f>_xlfn.XLOOKUP(AJ57,[1]Details!$L$14:$L$23,[1]Details!$M$14:$M$23,0,0,1)</f>
        <v>0</v>
      </c>
      <c r="AQ57" s="39">
        <f t="shared" ca="1" si="24"/>
        <v>-2209065.7597080315</v>
      </c>
      <c r="AR57" s="40"/>
      <c r="AS57" s="39">
        <f t="shared" ca="1" si="22"/>
        <v>47672.706150908947</v>
      </c>
      <c r="AT57" s="39">
        <f ca="1">(AV56+AS57)*(1+'Assumptions Sheet'!AB47)</f>
        <v>-1413362.2847921327</v>
      </c>
      <c r="AU57" s="39">
        <f>_xlfn.XLOOKUP(AJ57,[1]Details!$L$14:$L$23,[1]Details!$N$14:$N$23,0,0,1)</f>
        <v>0</v>
      </c>
      <c r="AV57" s="39">
        <f t="shared" ca="1" si="11"/>
        <v>-1413362.2847921327</v>
      </c>
      <c r="AW57" s="40"/>
      <c r="AX57" s="39">
        <f t="shared" ca="1" si="12"/>
        <v>381381.64920727158</v>
      </c>
      <c r="AY57" s="39">
        <f ca="1">(AX57+BA56)*(1+'Assumptions Sheet'!AC47)</f>
        <v>16966340.887828607</v>
      </c>
      <c r="AZ57" s="39">
        <f>_xlfn.XLOOKUP(AJ57,[1]Details!$L$14:$L$23,[1]Details!$O$14:$O$23,0,0,1)</f>
        <v>0</v>
      </c>
      <c r="BA57" s="39">
        <f t="shared" ca="1" si="25"/>
        <v>16966340.887828607</v>
      </c>
      <c r="BB57" s="40"/>
      <c r="BC57" s="39">
        <f t="shared" ca="1" si="14"/>
        <v>476727.06150908949</v>
      </c>
      <c r="BD57" s="39">
        <f t="shared" ca="1" si="26"/>
        <v>910115.29924462538</v>
      </c>
      <c r="BF57" s="39">
        <f t="shared" ca="1" si="15"/>
        <v>4715249.4137371108</v>
      </c>
      <c r="BG57" s="39">
        <f t="shared" ca="1" si="16"/>
        <v>0</v>
      </c>
      <c r="BH57" s="39">
        <f ca="1">(((BF57+BH56)*(1+'Assumptions Sheet'!AE47)))-BI56+BG57</f>
        <v>56163425.45631437</v>
      </c>
      <c r="BI57" s="39">
        <f ca="1">(IF(BH57&gt;SUM([1]Details!$V$18,[1]Details!$V$19),[1]Details!$V$19,0))</f>
        <v>300000</v>
      </c>
      <c r="BJ57" s="40"/>
      <c r="BK57" s="39">
        <f t="shared" ca="1" si="27"/>
        <v>300000</v>
      </c>
      <c r="BL57" s="39">
        <f ca="1">BK57*(1+'Assumptions Sheet'!AD47)</f>
        <v>315000</v>
      </c>
      <c r="BM57" s="39"/>
      <c r="BN57" s="39">
        <f t="shared" ca="1" si="29"/>
        <v>8274000</v>
      </c>
    </row>
    <row r="58" spans="1:66" ht="14.25" customHeight="1" outlineLevel="1" x14ac:dyDescent="0.3">
      <c r="A58" s="15"/>
      <c r="B58" s="15">
        <v>47</v>
      </c>
      <c r="C58" s="42">
        <f t="shared" si="17"/>
        <v>47</v>
      </c>
      <c r="E58" s="43">
        <f ca="1">E57*(1+'Assumptions Sheet'!E47)</f>
        <v>6752459.4117485713</v>
      </c>
      <c r="F58" s="43">
        <f ca="1">F57*(1+'Assumptions Sheet'!F47)</f>
        <v>0</v>
      </c>
      <c r="G58" s="43">
        <f ca="1">G57*(1+'Assumptions Sheet'!G47)</f>
        <v>22400.737934049459</v>
      </c>
      <c r="H58" s="43">
        <f ca="1">H57*(1+'Assumptions Sheet'!H47)</f>
        <v>0</v>
      </c>
      <c r="I58" s="43"/>
      <c r="J58" s="43"/>
      <c r="K58" s="43"/>
      <c r="L58" s="43"/>
      <c r="M58" s="43"/>
      <c r="N58" s="43">
        <f t="shared" ca="1" si="28"/>
        <v>6774860.1496826205</v>
      </c>
      <c r="O58" s="40"/>
      <c r="P58" s="43"/>
      <c r="Q58" s="43">
        <f t="shared" si="3"/>
        <v>0</v>
      </c>
      <c r="R58" s="43">
        <f ca="1">R57*(1+'Assumptions Sheet'!Q47)</f>
        <v>138245.75233057493</v>
      </c>
      <c r="S58" s="43">
        <f ca="1">S57*(1+'Assumptions Sheet'!P47)</f>
        <v>120844.87991052252</v>
      </c>
      <c r="T58" s="43">
        <f ca="1">T57*('Assumptions Sheet'!Q47+1)</f>
        <v>92163.834887049932</v>
      </c>
      <c r="U58" s="43">
        <f ca="1">U57*('Assumptions Sheet'!S47+1)</f>
        <v>17300.211456820776</v>
      </c>
      <c r="V58" s="43">
        <f ca="1">V57*(1+'Assumptions Sheet'!Q47)</f>
        <v>184327.66977409986</v>
      </c>
      <c r="W58" s="43">
        <f ca="1">W57*(1+'Assumptions Sheet'!R47)</f>
        <v>86802.226932668127</v>
      </c>
      <c r="X58" s="43">
        <f ca="1">X57*(1+'Assumptions Sheet'!O47)</f>
        <v>364581.35222905822</v>
      </c>
      <c r="Y58" s="43">
        <f t="shared" si="18"/>
        <v>12000</v>
      </c>
      <c r="Z58" s="43">
        <f ca="1">'Assumptions Sheet'!V48</f>
        <v>10000</v>
      </c>
      <c r="AA58" s="41">
        <f t="shared" ca="1" si="5"/>
        <v>1026265.9275207943</v>
      </c>
      <c r="AB58" s="40"/>
      <c r="AC58" s="43">
        <f t="shared" ca="1" si="23"/>
        <v>6774860.1496826205</v>
      </c>
      <c r="AD58" s="43">
        <f t="shared" ca="1" si="7"/>
        <v>1026265.9275207943</v>
      </c>
      <c r="AE58" s="39">
        <f t="shared" ca="1" si="8"/>
        <v>5748594.2221618257</v>
      </c>
      <c r="AF58" s="43" t="str" cm="1">
        <f t="array" aca="1" ref="AF58" ca="1">_xlfn.IFS(AE58&lt;0,"Withdrawal From Savings A/C",AND(AE58&gt;0,BH57&lt;[1]Details!$V$18),"Transfer to Emergency Fund",AE58&gt;$AG$29,"Investment Possible",AND(AE58&gt;0,BH57&gt;[1]Details!$V$18),"Investment Possible With Bal")</f>
        <v>Investment Possible</v>
      </c>
      <c r="AG58" s="43" cm="1">
        <f t="array" aca="1" ref="AG58" ca="1">_xlfn.IFS(OR(AF58="Withdrawal From Savings A/C",AF58="Transfer to Emergency Fund"),0,AF58= "Investment Possible With Bal",AE58,AF58= "Investment Possible",MAX($AG$29,$AG57*(1+$AH$25)))</f>
        <v>524399.76765999838</v>
      </c>
      <c r="AH58" s="43">
        <f t="shared" ca="1" si="30"/>
        <v>5224194.4545018272</v>
      </c>
      <c r="AI58" s="40"/>
      <c r="AJ58" s="42">
        <f>'Calc Engine'!$C58</f>
        <v>47</v>
      </c>
      <c r="AK58" s="43">
        <f t="shared" ca="1" si="9"/>
        <v>524399.76765999838</v>
      </c>
      <c r="AL58" s="43">
        <f t="shared" ca="1" si="20"/>
        <v>5368397.4442599779</v>
      </c>
      <c r="AM58" s="40"/>
      <c r="AN58" s="43">
        <f t="shared" ca="1" si="21"/>
        <v>52439.97676599984</v>
      </c>
      <c r="AO58" s="43">
        <f ca="1">(AN58+AQ57)*(1+'Assumptions Sheet'!AA48)</f>
        <v>-2458553.3925539162</v>
      </c>
      <c r="AP58" s="39">
        <f>_xlfn.XLOOKUP(AJ58,[1]Details!$L$14:$L$23,[1]Details!$M$14:$M$23,0,0,1)</f>
        <v>0</v>
      </c>
      <c r="AQ58" s="43">
        <f t="shared" ca="1" si="24"/>
        <v>-2458553.3925539162</v>
      </c>
      <c r="AR58" s="40"/>
      <c r="AS58" s="43">
        <f t="shared" ca="1" si="22"/>
        <v>52439.97676599984</v>
      </c>
      <c r="AT58" s="43">
        <f ca="1">(AV57+AS58)*(1+'Assumptions Sheet'!AB48)</f>
        <v>-1578669.877310314</v>
      </c>
      <c r="AU58" s="39">
        <f>_xlfn.XLOOKUP(AJ58,[1]Details!$L$14:$L$23,[1]Details!$N$14:$N$23,0,0,1)</f>
        <v>0</v>
      </c>
      <c r="AV58" s="43">
        <f t="shared" ca="1" si="11"/>
        <v>-1578669.877310314</v>
      </c>
      <c r="AW58" s="40"/>
      <c r="AX58" s="43">
        <f t="shared" ca="1" si="12"/>
        <v>419519.81412799872</v>
      </c>
      <c r="AY58" s="43">
        <f ca="1">(AX58+BA57)*(1+'Assumptions Sheet'!AC48)</f>
        <v>20863032.842347927</v>
      </c>
      <c r="AZ58" s="39">
        <f>_xlfn.XLOOKUP(AJ58,[1]Details!$L$14:$L$23,[1]Details!$O$14:$O$23,0,0,1)</f>
        <v>0</v>
      </c>
      <c r="BA58" s="43">
        <f t="shared" ca="1" si="25"/>
        <v>20863032.842347927</v>
      </c>
      <c r="BB58" s="40"/>
      <c r="BC58" s="43">
        <f t="shared" ca="1" si="14"/>
        <v>524399.76765999838</v>
      </c>
      <c r="BD58" s="43">
        <f t="shared" ca="1" si="26"/>
        <v>1001126.8291690878</v>
      </c>
      <c r="BF58" s="39">
        <f t="shared" ca="1" si="15"/>
        <v>5224194.4545018272</v>
      </c>
      <c r="BG58" s="39">
        <f t="shared" ca="1" si="16"/>
        <v>0</v>
      </c>
      <c r="BH58" s="39">
        <f ca="1">(((BF58+BH57)*(1+'Assumptions Sheet'!AE48)))-BI57+BG58</f>
        <v>62929248.508140691</v>
      </c>
      <c r="BI58" s="39">
        <f ca="1">(IF(BH58&gt;SUM([1]Details!$V$18,[1]Details!$V$19),[1]Details!$V$19,0))</f>
        <v>300000</v>
      </c>
      <c r="BJ58" s="40"/>
      <c r="BK58" s="43">
        <f t="shared" ca="1" si="27"/>
        <v>300000</v>
      </c>
      <c r="BL58" s="43">
        <f ca="1">BK58*(1+'Assumptions Sheet'!AD48)</f>
        <v>315000</v>
      </c>
      <c r="BM58" s="43"/>
      <c r="BN58" s="39">
        <f t="shared" ca="1" si="29"/>
        <v>8589000</v>
      </c>
    </row>
    <row r="59" spans="1:66" ht="14.25" customHeight="1" outlineLevel="1" x14ac:dyDescent="0.3">
      <c r="A59" s="15"/>
      <c r="B59" s="15">
        <v>48</v>
      </c>
      <c r="C59" s="38">
        <f t="shared" si="17"/>
        <v>48</v>
      </c>
      <c r="E59" s="39">
        <f ca="1">E58*(1+'Assumptions Sheet'!E48)</f>
        <v>7427705.3529234286</v>
      </c>
      <c r="F59" s="39">
        <f ca="1">F58*(1+'Assumptions Sheet'!F48)</f>
        <v>0</v>
      </c>
      <c r="G59" s="39">
        <f ca="1">G58*(1+'Assumptions Sheet'!G48)</f>
        <v>23520.774830751932</v>
      </c>
      <c r="H59" s="39">
        <f ca="1">H58*(1+'Assumptions Sheet'!H48)</f>
        <v>0</v>
      </c>
      <c r="I59" s="39"/>
      <c r="J59" s="39"/>
      <c r="K59" s="39"/>
      <c r="L59" s="39"/>
      <c r="M59" s="39"/>
      <c r="N59" s="39">
        <f t="shared" ca="1" si="28"/>
        <v>7451226.1277541807</v>
      </c>
      <c r="O59" s="40"/>
      <c r="P59" s="39"/>
      <c r="Q59" s="39">
        <f t="shared" si="3"/>
        <v>0</v>
      </c>
      <c r="R59" s="39">
        <f ca="1">R58*(1+'Assumptions Sheet'!Q48)</f>
        <v>149305.41251702094</v>
      </c>
      <c r="S59" s="39">
        <f ca="1">S58*(1+'Assumptions Sheet'!P48)</f>
        <v>125678.67510694342</v>
      </c>
      <c r="T59" s="39">
        <f ca="1">T58*('Assumptions Sheet'!Q48+1)</f>
        <v>99536.941678013929</v>
      </c>
      <c r="U59" s="39">
        <f ca="1">U58*('Assumptions Sheet'!S48+1)</f>
        <v>17992.219915093607</v>
      </c>
      <c r="V59" s="39">
        <f ca="1">V58*(1+'Assumptions Sheet'!Q48)</f>
        <v>199073.88335602786</v>
      </c>
      <c r="W59" s="39">
        <f ca="1">W58*(1+'Assumptions Sheet'!R48)</f>
        <v>92010.360548628218</v>
      </c>
      <c r="X59" s="39">
        <f ca="1">X58*(1+'Assumptions Sheet'!O48)</f>
        <v>382810.41984051117</v>
      </c>
      <c r="Y59" s="39">
        <f t="shared" si="18"/>
        <v>12000</v>
      </c>
      <c r="Z59" s="39">
        <f ca="1">'Assumptions Sheet'!V49</f>
        <v>10000</v>
      </c>
      <c r="AA59" s="41">
        <f t="shared" ca="1" si="5"/>
        <v>1088407.9129622392</v>
      </c>
      <c r="AB59" s="40"/>
      <c r="AC59" s="39">
        <f t="shared" ca="1" si="23"/>
        <v>7451226.1277541807</v>
      </c>
      <c r="AD59" s="39">
        <f t="shared" ca="1" si="7"/>
        <v>1088407.9129622392</v>
      </c>
      <c r="AE59" s="39">
        <f t="shared" ca="1" si="8"/>
        <v>6362818.2147919415</v>
      </c>
      <c r="AF59" s="39" t="str" cm="1">
        <f t="array" aca="1" ref="AF59" ca="1">_xlfn.IFS(AE59&lt;0,"Withdrawal From Savings A/C",AND(AE59&gt;0,BH58&lt;[1]Details!$V$18),"Transfer to Emergency Fund",AE59&gt;$AG$29,"Investment Possible",AND(AE59&gt;0,BH58&gt;[1]Details!$V$18),"Investment Possible With Bal")</f>
        <v>Investment Possible</v>
      </c>
      <c r="AG59" s="39" cm="1">
        <f t="array" aca="1" ref="AG59" ca="1">_xlfn.IFS(OR(AF59="Withdrawal From Savings A/C",AF59="Transfer to Emergency Fund"),0,AF59= "Investment Possible With Bal",AE59,AF59= "Investment Possible",MAX($AG$29,$AG58*(1+$AH$25)))</f>
        <v>576839.7444259983</v>
      </c>
      <c r="AH59" s="39">
        <f t="shared" ca="1" si="30"/>
        <v>5785978.4703659434</v>
      </c>
      <c r="AI59" s="40"/>
      <c r="AJ59" s="38">
        <f>'Calc Engine'!$C59</f>
        <v>48</v>
      </c>
      <c r="AK59" s="39">
        <f t="shared" ca="1" si="9"/>
        <v>576839.7444259983</v>
      </c>
      <c r="AL59" s="39">
        <f t="shared" ca="1" si="20"/>
        <v>5945237.188685976</v>
      </c>
      <c r="AM59" s="40"/>
      <c r="AN59" s="39">
        <f t="shared" ca="1" si="21"/>
        <v>57683.974442599836</v>
      </c>
      <c r="AO59" s="39">
        <f ca="1">(AN59+AQ58)*(1+'Assumptions Sheet'!AA49)</f>
        <v>-2736991.1366469008</v>
      </c>
      <c r="AP59" s="39">
        <f>_xlfn.XLOOKUP(AJ59,[1]Details!$L$14:$L$23,[1]Details!$M$14:$M$23,0,0,1)</f>
        <v>0</v>
      </c>
      <c r="AQ59" s="39">
        <f t="shared" ca="1" si="24"/>
        <v>-2736991.1366469008</v>
      </c>
      <c r="AR59" s="40"/>
      <c r="AS59" s="39">
        <f t="shared" ca="1" si="22"/>
        <v>57683.974442599836</v>
      </c>
      <c r="AT59" s="39">
        <f ca="1">(AV58+AS59)*(1+'Assumptions Sheet'!AB49)</f>
        <v>-1764343.6473265484</v>
      </c>
      <c r="AU59" s="39">
        <f>_xlfn.XLOOKUP(AJ59,[1]Details!$L$14:$L$23,[1]Details!$N$14:$N$23,0,0,1)</f>
        <v>0</v>
      </c>
      <c r="AV59" s="39">
        <f t="shared" ca="1" si="11"/>
        <v>-1764343.6473265484</v>
      </c>
      <c r="AW59" s="40"/>
      <c r="AX59" s="39">
        <f t="shared" ca="1" si="12"/>
        <v>461471.79554079869</v>
      </c>
      <c r="AY59" s="39">
        <f ca="1">(AX59+BA58)*(1+'Assumptions Sheet'!AC49)</f>
        <v>25589405.565466471</v>
      </c>
      <c r="AZ59" s="39">
        <f>_xlfn.XLOOKUP(AJ59,[1]Details!$L$14:$L$23,[1]Details!$O$14:$O$23,0,0,1)</f>
        <v>0</v>
      </c>
      <c r="BA59" s="39">
        <f t="shared" ca="1" si="25"/>
        <v>25589405.565466471</v>
      </c>
      <c r="BB59" s="40"/>
      <c r="BC59" s="39">
        <f t="shared" ca="1" si="14"/>
        <v>576839.7444259983</v>
      </c>
      <c r="BD59" s="39">
        <f t="shared" ca="1" si="26"/>
        <v>1101239.5120859966</v>
      </c>
      <c r="BF59" s="39">
        <f t="shared" ca="1" si="15"/>
        <v>5785978.4703659434</v>
      </c>
      <c r="BG59" s="39">
        <f t="shared" ca="1" si="16"/>
        <v>0</v>
      </c>
      <c r="BH59" s="39">
        <f ca="1">(((BF59+BH58)*(1+'Assumptions Sheet'!AE49)))-BI58+BG59</f>
        <v>70476683.787861839</v>
      </c>
      <c r="BI59" s="39">
        <f ca="1">(IF(BH59&gt;SUM([1]Details!$V$18,[1]Details!$V$19),[1]Details!$V$19,0))</f>
        <v>300000</v>
      </c>
      <c r="BJ59" s="40"/>
      <c r="BK59" s="39">
        <f t="shared" ca="1" si="27"/>
        <v>300000</v>
      </c>
      <c r="BL59" s="39">
        <f ca="1">BK59*(1+'Assumptions Sheet'!AD49)</f>
        <v>315000</v>
      </c>
      <c r="BM59" s="39"/>
      <c r="BN59" s="39">
        <f t="shared" ca="1" si="29"/>
        <v>8904000</v>
      </c>
    </row>
    <row r="60" spans="1:66" ht="14.25" customHeight="1" outlineLevel="1" x14ac:dyDescent="0.3">
      <c r="A60" s="15"/>
      <c r="B60" s="15">
        <v>49</v>
      </c>
      <c r="C60" s="42">
        <f t="shared" si="17"/>
        <v>49</v>
      </c>
      <c r="E60" s="43">
        <f ca="1">E59*(1+'Assumptions Sheet'!E49)</f>
        <v>8170475.8882157719</v>
      </c>
      <c r="F60" s="43">
        <f ca="1">F59*(1+'Assumptions Sheet'!F49)</f>
        <v>0</v>
      </c>
      <c r="G60" s="43">
        <f ca="1">G59*(1+'Assumptions Sheet'!G49)</f>
        <v>24696.813572289531</v>
      </c>
      <c r="H60" s="43">
        <f ca="1">H59*(1+'Assumptions Sheet'!H49)</f>
        <v>0</v>
      </c>
      <c r="I60" s="43"/>
      <c r="J60" s="43"/>
      <c r="K60" s="43"/>
      <c r="L60" s="43"/>
      <c r="M60" s="43"/>
      <c r="N60" s="43">
        <f t="shared" ca="1" si="28"/>
        <v>8195172.7017880613</v>
      </c>
      <c r="O60" s="40"/>
      <c r="P60" s="43"/>
      <c r="Q60" s="43">
        <f t="shared" si="3"/>
        <v>0</v>
      </c>
      <c r="R60" s="43">
        <f ca="1">R59*(1+'Assumptions Sheet'!Q49)</f>
        <v>161249.84551838264</v>
      </c>
      <c r="S60" s="43">
        <f ca="1">S59*(1+'Assumptions Sheet'!P49)</f>
        <v>130705.82211122116</v>
      </c>
      <c r="T60" s="43">
        <f ca="1">T59*('Assumptions Sheet'!Q49+1)</f>
        <v>107499.89701225505</v>
      </c>
      <c r="U60" s="43">
        <f ca="1">U59*('Assumptions Sheet'!S49+1)</f>
        <v>18711.908711697353</v>
      </c>
      <c r="V60" s="43">
        <f ca="1">V59*(1+'Assumptions Sheet'!Q49)</f>
        <v>214999.79402451011</v>
      </c>
      <c r="W60" s="43">
        <f ca="1">W59*(1+'Assumptions Sheet'!R49)</f>
        <v>97530.982181545915</v>
      </c>
      <c r="X60" s="43">
        <f ca="1">X59*(1+'Assumptions Sheet'!O49)</f>
        <v>401950.94083253673</v>
      </c>
      <c r="Y60" s="43">
        <f t="shared" si="18"/>
        <v>12000</v>
      </c>
      <c r="Z60" s="43">
        <f ca="1">'Assumptions Sheet'!V50</f>
        <v>10000</v>
      </c>
      <c r="AA60" s="41">
        <f t="shared" ca="1" si="5"/>
        <v>1154649.1903921489</v>
      </c>
      <c r="AB60" s="40"/>
      <c r="AC60" s="43">
        <f t="shared" ca="1" si="23"/>
        <v>8195172.7017880613</v>
      </c>
      <c r="AD60" s="43">
        <f t="shared" ca="1" si="7"/>
        <v>1154649.1903921489</v>
      </c>
      <c r="AE60" s="39">
        <f t="shared" ca="1" si="8"/>
        <v>7040523.5113959126</v>
      </c>
      <c r="AF60" s="43" t="str" cm="1">
        <f t="array" aca="1" ref="AF60" ca="1">_xlfn.IFS(AE60&lt;0,"Withdrawal From Savings A/C",AND(AE60&gt;0,BH59&lt;[1]Details!$V$18),"Transfer to Emergency Fund",AE60&gt;$AG$29,"Investment Possible",AND(AE60&gt;0,BH59&gt;[1]Details!$V$18),"Investment Possible With Bal")</f>
        <v>Investment Possible</v>
      </c>
      <c r="AG60" s="43" cm="1">
        <f t="array" aca="1" ref="AG60" ca="1">_xlfn.IFS(OR(AF60="Withdrawal From Savings A/C",AF60="Transfer to Emergency Fund"),0,AF60= "Investment Possible With Bal",AE60,AF60= "Investment Possible",MAX($AG$29,$AG59*(1+$AH$25)))</f>
        <v>634523.71886859823</v>
      </c>
      <c r="AH60" s="43">
        <f t="shared" ca="1" si="30"/>
        <v>6405999.7925273143</v>
      </c>
      <c r="AI60" s="40"/>
      <c r="AJ60" s="42">
        <f>'Calc Engine'!$C60</f>
        <v>49</v>
      </c>
      <c r="AK60" s="43">
        <f t="shared" ca="1" si="9"/>
        <v>634523.71886859823</v>
      </c>
      <c r="AL60" s="43">
        <f t="shared" ca="1" si="20"/>
        <v>6579760.9075545743</v>
      </c>
      <c r="AM60" s="40"/>
      <c r="AN60" s="43">
        <f t="shared" ca="1" si="21"/>
        <v>63452.371886859823</v>
      </c>
      <c r="AO60" s="43">
        <f ca="1">(AN60+AQ59)*(1+'Assumptions Sheet'!AA50)</f>
        <v>-3047834.1918264474</v>
      </c>
      <c r="AP60" s="39">
        <f>_xlfn.XLOOKUP(AJ60,[1]Details!$L$14:$L$23,[1]Details!$M$14:$M$23,0,0,1)</f>
        <v>0</v>
      </c>
      <c r="AQ60" s="43">
        <f t="shared" ca="1" si="24"/>
        <v>-3047834.1918264474</v>
      </c>
      <c r="AR60" s="40"/>
      <c r="AS60" s="43">
        <f t="shared" ca="1" si="22"/>
        <v>63452.371886859823</v>
      </c>
      <c r="AT60" s="43">
        <f ca="1">(AV59+AS60)*(1+'Assumptions Sheet'!AB50)</f>
        <v>-1973033.8795100385</v>
      </c>
      <c r="AU60" s="39">
        <f>_xlfn.XLOOKUP(AJ60,[1]Details!$L$14:$L$23,[1]Details!$N$14:$N$23,0,0,1)</f>
        <v>0</v>
      </c>
      <c r="AV60" s="43">
        <f t="shared" ca="1" si="11"/>
        <v>-1973033.8795100385</v>
      </c>
      <c r="AW60" s="40"/>
      <c r="AX60" s="43">
        <f t="shared" ca="1" si="12"/>
        <v>507618.97509487858</v>
      </c>
      <c r="AY60" s="43">
        <f ca="1">(AX60+BA59)*(1+'Assumptions Sheet'!AC50)</f>
        <v>31316429.448673617</v>
      </c>
      <c r="AZ60" s="39">
        <f>_xlfn.XLOOKUP(AJ60,[1]Details!$L$14:$L$23,[1]Details!$O$14:$O$23,0,0,1)</f>
        <v>0</v>
      </c>
      <c r="BA60" s="43">
        <f t="shared" ca="1" si="25"/>
        <v>31316429.448673617</v>
      </c>
      <c r="BB60" s="40"/>
      <c r="BC60" s="43">
        <f t="shared" ca="1" si="14"/>
        <v>634523.71886859834</v>
      </c>
      <c r="BD60" s="43">
        <f t="shared" ca="1" si="26"/>
        <v>1211363.4632945966</v>
      </c>
      <c r="BF60" s="39">
        <f t="shared" ca="1" si="15"/>
        <v>6405999.7925273143</v>
      </c>
      <c r="BG60" s="39">
        <f t="shared" ca="1" si="16"/>
        <v>0</v>
      </c>
      <c r="BH60" s="39">
        <f ca="1">(((BF60+BH59)*(1+'Assumptions Sheet'!AE50)))-BI59+BG60</f>
        <v>78889164.087800831</v>
      </c>
      <c r="BI60" s="39">
        <f ca="1">(IF(BH60&gt;SUM([1]Details!$V$18,[1]Details!$V$19),[1]Details!$V$19,0))</f>
        <v>300000</v>
      </c>
      <c r="BJ60" s="40"/>
      <c r="BK60" s="43">
        <f t="shared" ca="1" si="27"/>
        <v>300000</v>
      </c>
      <c r="BL60" s="43">
        <f ca="1">BK60*(1+'Assumptions Sheet'!AD50)</f>
        <v>315000</v>
      </c>
      <c r="BM60" s="43"/>
      <c r="BN60" s="39">
        <f t="shared" ca="1" si="29"/>
        <v>9219000</v>
      </c>
    </row>
    <row r="61" spans="1:66" ht="14.25" customHeight="1" outlineLevel="1" x14ac:dyDescent="0.3">
      <c r="A61" s="15"/>
      <c r="B61" s="15">
        <v>50</v>
      </c>
      <c r="C61" s="38">
        <f t="shared" si="17"/>
        <v>50</v>
      </c>
      <c r="E61" s="39">
        <f ca="1">E60*(1+'Assumptions Sheet'!E50)</f>
        <v>8987523.4770373497</v>
      </c>
      <c r="F61" s="39">
        <f ca="1">F60*(1+'Assumptions Sheet'!F50)</f>
        <v>0</v>
      </c>
      <c r="G61" s="39">
        <f ca="1">G60*(1+'Assumptions Sheet'!G50)</f>
        <v>25931.654250904008</v>
      </c>
      <c r="H61" s="39">
        <f ca="1">H60*(1+'Assumptions Sheet'!H50)</f>
        <v>0</v>
      </c>
      <c r="I61" s="39"/>
      <c r="J61" s="39"/>
      <c r="K61" s="39"/>
      <c r="L61" s="39"/>
      <c r="M61" s="39"/>
      <c r="N61" s="39">
        <f t="shared" ca="1" si="28"/>
        <v>9013455.1312882546</v>
      </c>
      <c r="O61" s="40"/>
      <c r="P61" s="39"/>
      <c r="Q61" s="39">
        <f t="shared" si="3"/>
        <v>0</v>
      </c>
      <c r="R61" s="39">
        <f ca="1">R60*(1+'Assumptions Sheet'!Q50)</f>
        <v>174149.83315985327</v>
      </c>
      <c r="S61" s="39">
        <f ca="1">S60*(1+'Assumptions Sheet'!P50)</f>
        <v>135934.05499567001</v>
      </c>
      <c r="T61" s="39">
        <f ca="1">T60*('Assumptions Sheet'!Q50+1)</f>
        <v>116099.88877323546</v>
      </c>
      <c r="U61" s="39">
        <f ca="1">U60*('Assumptions Sheet'!S50+1)</f>
        <v>19460.385060165248</v>
      </c>
      <c r="V61" s="39">
        <f ca="1">V60*(1+'Assumptions Sheet'!Q50)</f>
        <v>232199.77754647093</v>
      </c>
      <c r="W61" s="39">
        <f ca="1">W60*(1+'Assumptions Sheet'!R50)</f>
        <v>103382.84111243868</v>
      </c>
      <c r="X61" s="39">
        <f ca="1">X60*(1+'Assumptions Sheet'!O50)</f>
        <v>422048.48787416361</v>
      </c>
      <c r="Y61" s="39">
        <f t="shared" si="18"/>
        <v>12000</v>
      </c>
      <c r="Z61" s="39">
        <f ca="1">'Assumptions Sheet'!V51</f>
        <v>10000</v>
      </c>
      <c r="AA61" s="41">
        <f t="shared" ca="1" si="5"/>
        <v>1225275.2685219971</v>
      </c>
      <c r="AB61" s="40"/>
      <c r="AC61" s="39">
        <f t="shared" ca="1" si="23"/>
        <v>9013455.1312882546</v>
      </c>
      <c r="AD61" s="39">
        <f t="shared" ca="1" si="7"/>
        <v>1225275.2685219971</v>
      </c>
      <c r="AE61" s="39">
        <f t="shared" ca="1" si="8"/>
        <v>7788179.8627662575</v>
      </c>
      <c r="AF61" s="39" t="str" cm="1">
        <f t="array" aca="1" ref="AF61" ca="1">_xlfn.IFS(AE61&lt;0,"Withdrawal From Savings A/C",AND(AE61&gt;0,BH60&lt;[1]Details!$V$18),"Transfer to Emergency Fund",AE61&gt;$AG$29,"Investment Possible",AND(AE61&gt;0,BH60&gt;[1]Details!$V$18),"Investment Possible With Bal")</f>
        <v>Investment Possible</v>
      </c>
      <c r="AG61" s="39" cm="1">
        <f t="array" aca="1" ref="AG61" ca="1">_xlfn.IFS(OR(AF61="Withdrawal From Savings A/C",AF61="Transfer to Emergency Fund"),0,AF61= "Investment Possible With Bal",AE61,AF61= "Investment Possible",MAX($AG$29,$AG60*(1+$AH$25)))</f>
        <v>697976.09075545811</v>
      </c>
      <c r="AH61" s="39">
        <f t="shared" ca="1" si="30"/>
        <v>7090203.7720107995</v>
      </c>
      <c r="AI61" s="40"/>
      <c r="AJ61" s="38">
        <f>'Calc Engine'!$C61</f>
        <v>50</v>
      </c>
      <c r="AK61" s="39">
        <f t="shared" ca="1" si="9"/>
        <v>697976.09075545811</v>
      </c>
      <c r="AL61" s="39">
        <f t="shared" ca="1" si="20"/>
        <v>7277736.9983100323</v>
      </c>
      <c r="AM61" s="40"/>
      <c r="AN61" s="39">
        <f t="shared" ca="1" si="21"/>
        <v>69797.609075545814</v>
      </c>
      <c r="AO61" s="39">
        <f ca="1">(AN61+AQ60)*(1+'Assumptions Sheet'!AA51)</f>
        <v>-3394961.7043360281</v>
      </c>
      <c r="AP61" s="39">
        <f>_xlfn.XLOOKUP(AJ61,[1]Details!$L$14:$L$23,[1]Details!$M$14:$M$23,0,0,1)</f>
        <v>0</v>
      </c>
      <c r="AQ61" s="39">
        <f t="shared" ca="1" si="24"/>
        <v>-3394961.7043360281</v>
      </c>
      <c r="AR61" s="40"/>
      <c r="AS61" s="39">
        <f t="shared" ca="1" si="22"/>
        <v>69797.609075545814</v>
      </c>
      <c r="AT61" s="39">
        <f ca="1">(AV60+AS61)*(1+'Assumptions Sheet'!AB51)</f>
        <v>-2207754.0737040113</v>
      </c>
      <c r="AU61" s="39">
        <f>_xlfn.XLOOKUP(AJ61,[1]Details!$L$14:$L$23,[1]Details!$N$14:$N$23,0,0,1)</f>
        <v>0</v>
      </c>
      <c r="AV61" s="39">
        <f t="shared" ca="1" si="11"/>
        <v>-2207754.0737040113</v>
      </c>
      <c r="AW61" s="40"/>
      <c r="AX61" s="39">
        <f t="shared" ca="1" si="12"/>
        <v>558380.87260436651</v>
      </c>
      <c r="AY61" s="39">
        <f ca="1">(AX61+BA60)*(1+'Assumptions Sheet'!AC51)</f>
        <v>38249772.385533579</v>
      </c>
      <c r="AZ61" s="39">
        <f>_xlfn.XLOOKUP(AJ61,[1]Details!$L$14:$L$23,[1]Details!$O$14:$O$23,0,0,1)</f>
        <v>0</v>
      </c>
      <c r="BA61" s="39">
        <f t="shared" ca="1" si="25"/>
        <v>38249772.385533579</v>
      </c>
      <c r="BB61" s="40"/>
      <c r="BC61" s="39">
        <f t="shared" ca="1" si="14"/>
        <v>697976.09075545811</v>
      </c>
      <c r="BD61" s="39">
        <f t="shared" ca="1" si="26"/>
        <v>1332499.8096240563</v>
      </c>
      <c r="BF61" s="39">
        <f t="shared" ca="1" si="15"/>
        <v>7090203.7720107995</v>
      </c>
      <c r="BG61" s="39">
        <f t="shared" ca="1" si="16"/>
        <v>0</v>
      </c>
      <c r="BH61" s="39">
        <f ca="1">(((BF61+BH60)*(1+'Assumptions Sheet'!AE51)))-BI60+BG61</f>
        <v>88258748.895605981</v>
      </c>
      <c r="BI61" s="39">
        <f ca="1">(IF(BH61&gt;SUM([1]Details!$V$18,[1]Details!$V$19),[1]Details!$V$19,0))</f>
        <v>300000</v>
      </c>
      <c r="BJ61" s="40"/>
      <c r="BK61" s="39">
        <f t="shared" ca="1" si="27"/>
        <v>300000</v>
      </c>
      <c r="BL61" s="39">
        <f ca="1">BK61*(1+'Assumptions Sheet'!AD51)</f>
        <v>315000</v>
      </c>
      <c r="BM61" s="39"/>
      <c r="BN61" s="39">
        <f t="shared" ca="1" si="29"/>
        <v>9534000</v>
      </c>
    </row>
    <row r="62" spans="1:66" ht="14.25" customHeight="1" outlineLevel="1" x14ac:dyDescent="0.3">
      <c r="A62" s="15"/>
      <c r="B62" s="15">
        <v>51</v>
      </c>
      <c r="C62" s="42">
        <f t="shared" si="17"/>
        <v>51</v>
      </c>
      <c r="E62" s="43">
        <f ca="1">E61*(1+'Assumptions Sheet'!E51)</f>
        <v>9886275.824741086</v>
      </c>
      <c r="F62" s="43">
        <f ca="1">F61*(1+'Assumptions Sheet'!F51)</f>
        <v>0</v>
      </c>
      <c r="G62" s="43">
        <f ca="1">G61*(1+'Assumptions Sheet'!G51)</f>
        <v>27228.23696344921</v>
      </c>
      <c r="H62" s="43">
        <f ca="1">H61*(1+'Assumptions Sheet'!H51)</f>
        <v>0</v>
      </c>
      <c r="I62" s="43"/>
      <c r="J62" s="43"/>
      <c r="K62" s="43"/>
      <c r="L62" s="43"/>
      <c r="M62" s="43"/>
      <c r="N62" s="43">
        <f t="shared" ca="1" si="28"/>
        <v>9913504.061704535</v>
      </c>
      <c r="O62" s="40"/>
      <c r="P62" s="43"/>
      <c r="Q62" s="43">
        <f t="shared" si="3"/>
        <v>0</v>
      </c>
      <c r="R62" s="43">
        <f ca="1">R61*(1+'Assumptions Sheet'!Q51)</f>
        <v>188081.81981264154</v>
      </c>
      <c r="S62" s="43">
        <f ca="1">S61*(1+'Assumptions Sheet'!P51)</f>
        <v>141371.41719549682</v>
      </c>
      <c r="T62" s="43">
        <f ca="1">T61*('Assumptions Sheet'!Q51+1)</f>
        <v>125387.87987509431</v>
      </c>
      <c r="U62" s="43">
        <f ca="1">U61*('Assumptions Sheet'!S51+1)</f>
        <v>20238.80046257186</v>
      </c>
      <c r="V62" s="43">
        <f ca="1">V61*(1+'Assumptions Sheet'!Q51)</f>
        <v>250775.75975018862</v>
      </c>
      <c r="W62" s="43">
        <f ca="1">W61*(1+'Assumptions Sheet'!R51)</f>
        <v>109585.811579185</v>
      </c>
      <c r="X62" s="43">
        <f ca="1">X61*(1+'Assumptions Sheet'!O51)</f>
        <v>443150.91226787178</v>
      </c>
      <c r="Y62" s="43">
        <f t="shared" si="18"/>
        <v>12000</v>
      </c>
      <c r="Z62" s="43">
        <f ca="1">'Assumptions Sheet'!V52</f>
        <v>15000</v>
      </c>
      <c r="AA62" s="41">
        <f t="shared" ca="1" si="5"/>
        <v>1305592.4009430497</v>
      </c>
      <c r="AB62" s="40"/>
      <c r="AC62" s="43">
        <f t="shared" ca="1" si="23"/>
        <v>9913504.061704535</v>
      </c>
      <c r="AD62" s="43">
        <f t="shared" ca="1" si="7"/>
        <v>1305592.4009430497</v>
      </c>
      <c r="AE62" s="39">
        <f t="shared" ca="1" si="8"/>
        <v>8607911.6607614849</v>
      </c>
      <c r="AF62" s="43" t="str" cm="1">
        <f t="array" aca="1" ref="AF62" ca="1">_xlfn.IFS(AE62&lt;0,"Withdrawal From Savings A/C",AND(AE62&gt;0,BH61&lt;[1]Details!$V$18),"Transfer to Emergency Fund",AE62&gt;$AG$29,"Investment Possible",AND(AE62&gt;0,BH61&gt;[1]Details!$V$18),"Investment Possible With Bal")</f>
        <v>Investment Possible</v>
      </c>
      <c r="AG62" s="43" cm="1">
        <f t="array" aca="1" ref="AG62" ca="1">_xlfn.IFS(OR(AF62="Withdrawal From Savings A/C",AF62="Transfer to Emergency Fund"),0,AF62= "Investment Possible With Bal",AE62,AF62= "Investment Possible",MAX($AG$29,$AG61*(1+$AH$25)))</f>
        <v>767773.69983100402</v>
      </c>
      <c r="AH62" s="43">
        <f t="shared" ca="1" si="30"/>
        <v>7840137.9609304806</v>
      </c>
      <c r="AI62" s="40"/>
      <c r="AJ62" s="42">
        <f>'Calc Engine'!$C62</f>
        <v>51</v>
      </c>
      <c r="AK62" s="43">
        <f t="shared" ca="1" si="9"/>
        <v>767773.69983100402</v>
      </c>
      <c r="AL62" s="43">
        <f t="shared" ca="1" si="20"/>
        <v>8045510.6981410366</v>
      </c>
      <c r="AM62" s="40"/>
      <c r="AN62" s="43">
        <f t="shared" ca="1" si="21"/>
        <v>76777.369983100405</v>
      </c>
      <c r="AO62" s="43">
        <f ca="1">(AN62+AQ61)*(1+'Assumptions Sheet'!AA52)</f>
        <v>-3716366.4544752794</v>
      </c>
      <c r="AP62" s="39">
        <f>_xlfn.XLOOKUP(AJ62,[1]Details!$L$14:$L$23,[1]Details!$M$14:$M$23,0,0,1)</f>
        <v>0</v>
      </c>
      <c r="AQ62" s="43">
        <f t="shared" ca="1" si="24"/>
        <v>-3716366.4544752794</v>
      </c>
      <c r="AR62" s="40"/>
      <c r="AS62" s="43">
        <f t="shared" ca="1" si="22"/>
        <v>76777.369983100405</v>
      </c>
      <c r="AT62" s="43">
        <f ca="1">(AV61+AS62)*(1+'Assumptions Sheet'!AB52)</f>
        <v>-2429313.4422418387</v>
      </c>
      <c r="AU62" s="39">
        <f>_xlfn.XLOOKUP(AJ62,[1]Details!$L$14:$L$23,[1]Details!$N$14:$N$23,0,0,1)</f>
        <v>0</v>
      </c>
      <c r="AV62" s="43">
        <f t="shared" ca="1" si="11"/>
        <v>-2429313.4422418387</v>
      </c>
      <c r="AW62" s="40"/>
      <c r="AX62" s="43">
        <f t="shared" ca="1" si="12"/>
        <v>614218.95986480324</v>
      </c>
      <c r="AY62" s="43">
        <f ca="1">(AX62+BA61)*(1+'Assumptions Sheet'!AC52)</f>
        <v>45082229.960662119</v>
      </c>
      <c r="AZ62" s="39">
        <f>_xlfn.XLOOKUP(AJ62,[1]Details!$L$14:$L$23,[1]Details!$O$14:$O$23,0,0,1)</f>
        <v>0</v>
      </c>
      <c r="BA62" s="43">
        <f t="shared" ca="1" si="25"/>
        <v>45082229.960662119</v>
      </c>
      <c r="BB62" s="40"/>
      <c r="BC62" s="43">
        <f t="shared" ca="1" si="14"/>
        <v>767773.69983100414</v>
      </c>
      <c r="BD62" s="43">
        <f t="shared" ca="1" si="26"/>
        <v>1465749.7905864622</v>
      </c>
      <c r="BF62" s="39">
        <f t="shared" ca="1" si="15"/>
        <v>7840137.9609304806</v>
      </c>
      <c r="BG62" s="39">
        <f t="shared" ca="1" si="16"/>
        <v>0</v>
      </c>
      <c r="BH62" s="39">
        <f ca="1">(((BF62+BH61)*(1+'Assumptions Sheet'!AE52)))-BI61+BG62</f>
        <v>98681853.46223256</v>
      </c>
      <c r="BI62" s="39">
        <f ca="1">(IF(BH62&gt;SUM([1]Details!$V$18,[1]Details!$V$19),[1]Details!$V$19,0))</f>
        <v>300000</v>
      </c>
      <c r="BJ62" s="40"/>
      <c r="BK62" s="43">
        <f t="shared" ca="1" si="27"/>
        <v>300000</v>
      </c>
      <c r="BL62" s="43">
        <f ca="1">BK62*(1+'Assumptions Sheet'!AD52)</f>
        <v>315000</v>
      </c>
      <c r="BM62" s="43"/>
      <c r="BN62" s="39">
        <f t="shared" ca="1" si="29"/>
        <v>9849000</v>
      </c>
    </row>
    <row r="63" spans="1:66" ht="14.25" customHeight="1" outlineLevel="1" x14ac:dyDescent="0.3">
      <c r="A63" s="15"/>
      <c r="B63" s="15">
        <v>52</v>
      </c>
      <c r="C63" s="38">
        <f t="shared" si="17"/>
        <v>52</v>
      </c>
      <c r="E63" s="39">
        <f ca="1">E62*(1+'Assumptions Sheet'!E52)</f>
        <v>10578315.132472962</v>
      </c>
      <c r="F63" s="39">
        <f ca="1">F62*(1+'Assumptions Sheet'!F52)</f>
        <v>0</v>
      </c>
      <c r="G63" s="39">
        <f ca="1">G62*(1+'Assumptions Sheet'!G52)</f>
        <v>28589.648811621671</v>
      </c>
      <c r="H63" s="39">
        <f ca="1">H62*(1+'Assumptions Sheet'!H52)</f>
        <v>0</v>
      </c>
      <c r="I63" s="39"/>
      <c r="J63" s="39"/>
      <c r="K63" s="39"/>
      <c r="L63" s="39"/>
      <c r="M63" s="39"/>
      <c r="N63" s="39">
        <f t="shared" ca="1" si="28"/>
        <v>10606904.781284584</v>
      </c>
      <c r="O63" s="40"/>
      <c r="P63" s="39"/>
      <c r="Q63" s="39">
        <f t="shared" si="3"/>
        <v>0</v>
      </c>
      <c r="R63" s="39">
        <f ca="1">R62*(1+'Assumptions Sheet'!Q52)</f>
        <v>197485.91080327361</v>
      </c>
      <c r="S63" s="39">
        <f ca="1">S62*(1+'Assumptions Sheet'!P52)</f>
        <v>148439.98805527168</v>
      </c>
      <c r="T63" s="39">
        <f ca="1">T62*('Assumptions Sheet'!Q52+1)</f>
        <v>131657.27386884904</v>
      </c>
      <c r="U63" s="39">
        <f ca="1">U62*('Assumptions Sheet'!S52+1)</f>
        <v>21048.352481074737</v>
      </c>
      <c r="V63" s="39">
        <f ca="1">V62*(1+'Assumptions Sheet'!Q52)</f>
        <v>263314.54773769807</v>
      </c>
      <c r="W63" s="39">
        <f ca="1">W62*(1+'Assumptions Sheet'!R52)</f>
        <v>116160.9602739361</v>
      </c>
      <c r="X63" s="39">
        <f ca="1">X62*(1+'Assumptions Sheet'!O52)</f>
        <v>469739.9670039441</v>
      </c>
      <c r="Y63" s="39">
        <f t="shared" si="18"/>
        <v>12000</v>
      </c>
      <c r="Z63" s="39">
        <f ca="1">'Assumptions Sheet'!V53</f>
        <v>15000</v>
      </c>
      <c r="AA63" s="41">
        <f t="shared" ca="1" si="5"/>
        <v>1374847.0002240473</v>
      </c>
      <c r="AB63" s="40"/>
      <c r="AC63" s="39">
        <f t="shared" ca="1" si="23"/>
        <v>10606904.781284584</v>
      </c>
      <c r="AD63" s="39">
        <f t="shared" ca="1" si="7"/>
        <v>1374847.0002240473</v>
      </c>
      <c r="AE63" s="39">
        <f t="shared" ca="1" si="8"/>
        <v>9232057.7810605355</v>
      </c>
      <c r="AF63" s="39" t="str" cm="1">
        <f t="array" aca="1" ref="AF63" ca="1">_xlfn.IFS(AE63&lt;0,"Withdrawal From Savings A/C",AND(AE63&gt;0,BH62&lt;[1]Details!$V$18),"Transfer to Emergency Fund",AE63&gt;$AG$29,"Investment Possible",AND(AE63&gt;0,BH62&gt;[1]Details!$V$18),"Investment Possible With Bal")</f>
        <v>Investment Possible</v>
      </c>
      <c r="AG63" s="39" cm="1">
        <f t="array" aca="1" ref="AG63" ca="1">_xlfn.IFS(OR(AF63="Withdrawal From Savings A/C",AF63="Transfer to Emergency Fund"),0,AF63= "Investment Possible With Bal",AE63,AF63= "Investment Possible",MAX($AG$29,$AG62*(1+$AH$25)))</f>
        <v>844551.06981410447</v>
      </c>
      <c r="AH63" s="39">
        <f t="shared" ca="1" si="30"/>
        <v>8387506.7112464309</v>
      </c>
      <c r="AI63" s="40"/>
      <c r="AJ63" s="38">
        <f>'Calc Engine'!$C63</f>
        <v>52</v>
      </c>
      <c r="AK63" s="39">
        <f t="shared" ca="1" si="9"/>
        <v>844551.06981410447</v>
      </c>
      <c r="AL63" s="39">
        <f t="shared" ca="1" si="20"/>
        <v>8890061.7679551411</v>
      </c>
      <c r="AM63" s="40"/>
      <c r="AN63" s="39">
        <f t="shared" ca="1" si="21"/>
        <v>84455.106981410456</v>
      </c>
      <c r="AO63" s="39">
        <f ca="1">(AN63+AQ62)*(1+'Assumptions Sheet'!AA53)</f>
        <v>-4067740.7091931333</v>
      </c>
      <c r="AP63" s="39">
        <f>_xlfn.XLOOKUP(AJ63,[1]Details!$L$14:$L$23,[1]Details!$M$14:$M$23,0,0,1)</f>
        <v>6000000</v>
      </c>
      <c r="AQ63" s="39">
        <f t="shared" ca="1" si="24"/>
        <v>-10067740.709193133</v>
      </c>
      <c r="AR63" s="40"/>
      <c r="AS63" s="39">
        <f t="shared" ca="1" si="22"/>
        <v>84455.106981410456</v>
      </c>
      <c r="AT63" s="39">
        <f ca="1">(AV62+AS63)*(1+'Assumptions Sheet'!AB53)</f>
        <v>-2673138.5021968884</v>
      </c>
      <c r="AU63" s="39">
        <f>_xlfn.XLOOKUP(AJ63,[1]Details!$L$14:$L$23,[1]Details!$N$14:$N$23,0,0,1)</f>
        <v>0</v>
      </c>
      <c r="AV63" s="39">
        <f t="shared" ca="1" si="11"/>
        <v>-2673138.5021968884</v>
      </c>
      <c r="AW63" s="40"/>
      <c r="AX63" s="39">
        <f t="shared" ca="1" si="12"/>
        <v>675640.85585128365</v>
      </c>
      <c r="AY63" s="39">
        <f ca="1">(AX63+BA62)*(1+'Assumptions Sheet'!AC53)</f>
        <v>53079130.147155546</v>
      </c>
      <c r="AZ63" s="39">
        <f>_xlfn.XLOOKUP(AJ63,[1]Details!$L$14:$L$23,[1]Details!$O$14:$O$23,0,0,1)</f>
        <v>0</v>
      </c>
      <c r="BA63" s="39">
        <f t="shared" ca="1" si="25"/>
        <v>53079130.147155546</v>
      </c>
      <c r="BB63" s="40"/>
      <c r="BC63" s="39">
        <f t="shared" ca="1" si="14"/>
        <v>844551.06981410447</v>
      </c>
      <c r="BD63" s="39">
        <f t="shared" ca="1" si="26"/>
        <v>1612324.7696451086</v>
      </c>
      <c r="BF63" s="39">
        <f t="shared" ca="1" si="15"/>
        <v>8387506.7112464309</v>
      </c>
      <c r="BG63" s="39">
        <f t="shared" ca="1" si="16"/>
        <v>0</v>
      </c>
      <c r="BH63" s="39">
        <f ca="1">(((BF63+BH62)*(1+'Assumptions Sheet'!AE53)))-BI62+BG63</f>
        <v>109981440.97868337</v>
      </c>
      <c r="BI63" s="39">
        <f ca="1">(IF(BH63&gt;SUM([1]Details!$V$18,[1]Details!$V$19),[1]Details!$V$19,0))</f>
        <v>300000</v>
      </c>
      <c r="BJ63" s="40"/>
      <c r="BK63" s="39">
        <f t="shared" ca="1" si="27"/>
        <v>300000</v>
      </c>
      <c r="BL63" s="39">
        <f ca="1">BK63*(1+'Assumptions Sheet'!AD53)</f>
        <v>315000</v>
      </c>
      <c r="BM63" s="39"/>
      <c r="BN63" s="39">
        <f t="shared" ca="1" si="29"/>
        <v>10164000</v>
      </c>
    </row>
    <row r="64" spans="1:66" ht="14.25" customHeight="1" outlineLevel="1" x14ac:dyDescent="0.3">
      <c r="A64" s="15"/>
      <c r="B64" s="15">
        <v>53</v>
      </c>
      <c r="C64" s="42">
        <f t="shared" si="17"/>
        <v>53</v>
      </c>
      <c r="E64" s="43">
        <f ca="1">E63*(1+'Assumptions Sheet'!E53)</f>
        <v>11318797.191746071</v>
      </c>
      <c r="F64" s="43">
        <f ca="1">F63*(1+'Assumptions Sheet'!F53)</f>
        <v>0</v>
      </c>
      <c r="G64" s="43">
        <f ca="1">G63*(1+'Assumptions Sheet'!G53)</f>
        <v>30019.131252202755</v>
      </c>
      <c r="H64" s="43">
        <f ca="1">H63*(1+'Assumptions Sheet'!H53)</f>
        <v>0</v>
      </c>
      <c r="I64" s="43"/>
      <c r="J64" s="43"/>
      <c r="K64" s="43"/>
      <c r="L64" s="43"/>
      <c r="M64" s="43"/>
      <c r="N64" s="43">
        <f t="shared" ca="1" si="28"/>
        <v>11348816.322998274</v>
      </c>
      <c r="O64" s="40"/>
      <c r="P64" s="43"/>
      <c r="Q64" s="43">
        <f t="shared" si="3"/>
        <v>0</v>
      </c>
      <c r="R64" s="43">
        <f ca="1">R63*(1+'Assumptions Sheet'!Q53)</f>
        <v>207360.20634343731</v>
      </c>
      <c r="S64" s="43">
        <f ca="1">S63*(1+'Assumptions Sheet'!P53)</f>
        <v>155861.98745803526</v>
      </c>
      <c r="T64" s="43">
        <f ca="1">T63*('Assumptions Sheet'!Q53+1)</f>
        <v>138240.13756229149</v>
      </c>
      <c r="U64" s="43">
        <f ca="1">U63*('Assumptions Sheet'!S53+1)</f>
        <v>21890.286580317726</v>
      </c>
      <c r="V64" s="43">
        <f ca="1">V63*(1+'Assumptions Sheet'!Q53)</f>
        <v>276480.27512458299</v>
      </c>
      <c r="W64" s="43">
        <f ca="1">W63*(1+'Assumptions Sheet'!R53)</f>
        <v>123130.61789037228</v>
      </c>
      <c r="X64" s="43">
        <f ca="1">X63*(1+'Assumptions Sheet'!O53)</f>
        <v>497924.36502418079</v>
      </c>
      <c r="Y64" s="43">
        <f t="shared" si="18"/>
        <v>12000</v>
      </c>
      <c r="Z64" s="43">
        <f ca="1">'Assumptions Sheet'!V54</f>
        <v>10000</v>
      </c>
      <c r="AA64" s="41">
        <f t="shared" ca="1" si="5"/>
        <v>1442887.8759832177</v>
      </c>
      <c r="AB64" s="40"/>
      <c r="AC64" s="43">
        <f t="shared" ca="1" si="23"/>
        <v>11348816.322998274</v>
      </c>
      <c r="AD64" s="43">
        <f t="shared" ca="1" si="7"/>
        <v>1442887.8759832177</v>
      </c>
      <c r="AE64" s="39">
        <f t="shared" ca="1" si="8"/>
        <v>9905928.4470150564</v>
      </c>
      <c r="AF64" s="43" t="str" cm="1">
        <f t="array" aca="1" ref="AF64" ca="1">_xlfn.IFS(AE64&lt;0,"Withdrawal From Savings A/C",AND(AE64&gt;0,BH63&lt;[1]Details!$V$18),"Transfer to Emergency Fund",AE64&gt;$AG$29,"Investment Possible",AND(AE64&gt;0,BH63&gt;[1]Details!$V$18),"Investment Possible With Bal")</f>
        <v>Investment Possible</v>
      </c>
      <c r="AG64" s="43" cm="1">
        <f t="array" aca="1" ref="AG64" ca="1">_xlfn.IFS(OR(AF64="Withdrawal From Savings A/C",AF64="Transfer to Emergency Fund"),0,AF64= "Investment Possible With Bal",AE64,AF64= "Investment Possible",MAX($AG$29,$AG63*(1+$AH$25)))</f>
        <v>929006.176795515</v>
      </c>
      <c r="AH64" s="43">
        <f t="shared" ca="1" si="30"/>
        <v>8976922.2702195421</v>
      </c>
      <c r="AI64" s="40"/>
      <c r="AJ64" s="42">
        <f>'Calc Engine'!$C64</f>
        <v>53</v>
      </c>
      <c r="AK64" s="43">
        <f t="shared" ca="1" si="9"/>
        <v>929006.176795515</v>
      </c>
      <c r="AL64" s="43">
        <f t="shared" ca="1" si="20"/>
        <v>9819067.9447506554</v>
      </c>
      <c r="AM64" s="40"/>
      <c r="AN64" s="43">
        <f t="shared" ca="1" si="21"/>
        <v>92900.617679551506</v>
      </c>
      <c r="AO64" s="43">
        <f ca="1">(AN64+AQ63)*(1+'Assumptions Sheet'!AA54)</f>
        <v>-11371317.704325484</v>
      </c>
      <c r="AP64" s="39">
        <f>_xlfn.XLOOKUP(AJ64,[1]Details!$L$14:$L$23,[1]Details!$M$14:$M$23,0,0,1)</f>
        <v>0</v>
      </c>
      <c r="AQ64" s="43">
        <f t="shared" ca="1" si="24"/>
        <v>-11371317.704325484</v>
      </c>
      <c r="AR64" s="40"/>
      <c r="AS64" s="43">
        <f t="shared" ca="1" si="22"/>
        <v>92900.617679551506</v>
      </c>
      <c r="AT64" s="43">
        <f ca="1">(AV63+AS64)*(1+'Assumptions Sheet'!AB54)</f>
        <v>-2993075.9460401102</v>
      </c>
      <c r="AU64" s="39">
        <f>_xlfn.XLOOKUP(AJ64,[1]Details!$L$14:$L$23,[1]Details!$N$14:$N$23,0,0,1)</f>
        <v>0</v>
      </c>
      <c r="AV64" s="43">
        <f t="shared" ca="1" si="11"/>
        <v>-2993075.9460401102</v>
      </c>
      <c r="AW64" s="40"/>
      <c r="AX64" s="43">
        <f t="shared" ca="1" si="12"/>
        <v>743204.94143641205</v>
      </c>
      <c r="AY64" s="43">
        <f ca="1">(AX64+BA63)*(1+'Assumptions Sheet'!AC54)</f>
        <v>64586802.106310345</v>
      </c>
      <c r="AZ64" s="39">
        <f>_xlfn.XLOOKUP(AJ64,[1]Details!$L$14:$L$23,[1]Details!$O$14:$O$23,0,0,1)</f>
        <v>0</v>
      </c>
      <c r="BA64" s="43">
        <f t="shared" ca="1" si="25"/>
        <v>64586802.106310345</v>
      </c>
      <c r="BB64" s="40"/>
      <c r="BC64" s="43">
        <f t="shared" ca="1" si="14"/>
        <v>929006.176795515</v>
      </c>
      <c r="BD64" s="43">
        <f t="shared" ca="1" si="26"/>
        <v>1773557.2466096194</v>
      </c>
      <c r="BF64" s="39">
        <f t="shared" ca="1" si="15"/>
        <v>8976922.2702195421</v>
      </c>
      <c r="BG64" s="39">
        <f t="shared" ca="1" si="16"/>
        <v>0</v>
      </c>
      <c r="BH64" s="39">
        <f ca="1">(((BF64+BH63)*(1+'Assumptions Sheet'!AE54)))-BI63+BG64</f>
        <v>122227114.14637001</v>
      </c>
      <c r="BI64" s="39">
        <f ca="1">(IF(BH64&gt;SUM([1]Details!$V$18,[1]Details!$V$19),[1]Details!$V$19,0))</f>
        <v>300000</v>
      </c>
      <c r="BJ64" s="40"/>
      <c r="BK64" s="43">
        <f t="shared" ca="1" si="27"/>
        <v>300000</v>
      </c>
      <c r="BL64" s="43">
        <f ca="1">BK64*(1+'Assumptions Sheet'!AD54)</f>
        <v>315000</v>
      </c>
      <c r="BM64" s="43"/>
      <c r="BN64" s="39">
        <f t="shared" ca="1" si="29"/>
        <v>10479000</v>
      </c>
    </row>
    <row r="65" spans="1:66" ht="14.4" outlineLevel="1" x14ac:dyDescent="0.3">
      <c r="A65" s="15"/>
      <c r="B65" s="15">
        <v>54</v>
      </c>
      <c r="C65" s="38">
        <f t="shared" si="17"/>
        <v>54</v>
      </c>
      <c r="E65" s="39">
        <f ca="1">E64*(1+'Assumptions Sheet'!E54)</f>
        <v>12450676.91092068</v>
      </c>
      <c r="F65" s="39">
        <f ca="1">F64*(1+'Assumptions Sheet'!F54)</f>
        <v>0</v>
      </c>
      <c r="G65" s="39">
        <f ca="1">G64*(1+'Assumptions Sheet'!G54)</f>
        <v>31520.087814812894</v>
      </c>
      <c r="H65" s="39">
        <f ca="1">H64*(1+'Assumptions Sheet'!H54)</f>
        <v>0</v>
      </c>
      <c r="I65" s="39"/>
      <c r="J65" s="39"/>
      <c r="K65" s="39"/>
      <c r="L65" s="39"/>
      <c r="M65" s="39"/>
      <c r="N65" s="39">
        <f t="shared" ca="1" si="28"/>
        <v>12482196.998735493</v>
      </c>
      <c r="O65" s="40"/>
      <c r="P65" s="39"/>
      <c r="Q65" s="39">
        <f t="shared" si="3"/>
        <v>0</v>
      </c>
      <c r="R65" s="39">
        <f ca="1">R64*(1+'Assumptions Sheet'!Q54)</f>
        <v>223949.02285091233</v>
      </c>
      <c r="S65" s="39">
        <f ca="1">S64*(1+'Assumptions Sheet'!P54)</f>
        <v>162096.46695635669</v>
      </c>
      <c r="T65" s="39">
        <f ca="1">T64*('Assumptions Sheet'!Q54+1)</f>
        <v>149299.34856727484</v>
      </c>
      <c r="U65" s="39">
        <f ca="1">U64*('Assumptions Sheet'!S54+1)</f>
        <v>22765.898043530437</v>
      </c>
      <c r="V65" s="39">
        <f ca="1">V64*(1+'Assumptions Sheet'!Q54)</f>
        <v>298598.69713454967</v>
      </c>
      <c r="W65" s="39">
        <f ca="1">W64*(1+'Assumptions Sheet'!R54)</f>
        <v>130518.45496379462</v>
      </c>
      <c r="X65" s="39">
        <f ca="1">X64*(1+'Assumptions Sheet'!O54)</f>
        <v>522820.58327538986</v>
      </c>
      <c r="Y65" s="39">
        <f t="shared" si="18"/>
        <v>12000</v>
      </c>
      <c r="Z65" s="39">
        <f ca="1">'Assumptions Sheet'!V55</f>
        <v>10000</v>
      </c>
      <c r="AA65" s="41">
        <f t="shared" ca="1" si="5"/>
        <v>1532048.4717918085</v>
      </c>
      <c r="AB65" s="40"/>
      <c r="AC65" s="39">
        <f t="shared" ca="1" si="23"/>
        <v>12482196.998735493</v>
      </c>
      <c r="AD65" s="39">
        <f t="shared" ca="1" si="7"/>
        <v>1532048.4717918085</v>
      </c>
      <c r="AE65" s="39">
        <f t="shared" ca="1" si="8"/>
        <v>10950148.526943684</v>
      </c>
      <c r="AF65" s="39" t="str" cm="1">
        <f t="array" aca="1" ref="AF65" ca="1">_xlfn.IFS(AE65&lt;0,"Withdrawal From Savings A/C",AND(AE65&gt;0,BH64&lt;[1]Details!$V$18),"Transfer to Emergency Fund",AE65&gt;$AG$29,"Investment Possible",AND(AE65&gt;0,BH64&gt;[1]Details!$V$18),"Investment Possible With Bal")</f>
        <v>Investment Possible</v>
      </c>
      <c r="AG65" s="39" cm="1">
        <f t="array" aca="1" ref="AG65" ca="1">_xlfn.IFS(OR(AF65="Withdrawal From Savings A/C",AF65="Transfer to Emergency Fund"),0,AF65= "Investment Possible With Bal",AE65,AF65= "Investment Possible",MAX($AG$29,$AG64*(1+$AH$25)))</f>
        <v>1021906.7944750666</v>
      </c>
      <c r="AH65" s="39">
        <f t="shared" ca="1" si="30"/>
        <v>9928241.7324686162</v>
      </c>
      <c r="AI65" s="40"/>
      <c r="AJ65" s="38">
        <f>'Calc Engine'!$C65</f>
        <v>54</v>
      </c>
      <c r="AK65" s="39">
        <f t="shared" ca="1" si="9"/>
        <v>1021906.7944750666</v>
      </c>
      <c r="AL65" s="39">
        <f t="shared" ca="1" si="20"/>
        <v>10840974.739225723</v>
      </c>
      <c r="AM65" s="40"/>
      <c r="AN65" s="39">
        <f t="shared" ca="1" si="21"/>
        <v>102190.67944750667</v>
      </c>
      <c r="AO65" s="39">
        <f ca="1">(AN65+AQ64)*(1+'Assumptions Sheet'!AA55)</f>
        <v>-12846804.808360895</v>
      </c>
      <c r="AP65" s="39">
        <f>_xlfn.XLOOKUP(AJ65,[1]Details!$L$14:$L$23,[1]Details!$M$14:$M$23,0,0,1)</f>
        <v>0</v>
      </c>
      <c r="AQ65" s="39">
        <f t="shared" ca="1" si="24"/>
        <v>-12846804.808360895</v>
      </c>
      <c r="AR65" s="40"/>
      <c r="AS65" s="39">
        <f t="shared" ca="1" si="22"/>
        <v>102190.67944750667</v>
      </c>
      <c r="AT65" s="39">
        <f ca="1">(AV64+AS65)*(1+'Assumptions Sheet'!AB55)</f>
        <v>-3353426.9092474198</v>
      </c>
      <c r="AU65" s="39">
        <f>_xlfn.XLOOKUP(AJ65,[1]Details!$L$14:$L$23,[1]Details!$N$14:$N$23,0,0,1)</f>
        <v>0</v>
      </c>
      <c r="AV65" s="39">
        <f t="shared" ca="1" si="11"/>
        <v>-3353426.9092474198</v>
      </c>
      <c r="AW65" s="40"/>
      <c r="AX65" s="39">
        <f t="shared" ca="1" si="12"/>
        <v>817525.43558005337</v>
      </c>
      <c r="AY65" s="39">
        <f ca="1">(AX65+BA64)*(1+'Assumptions Sheet'!AC55)</f>
        <v>78485193.050268471</v>
      </c>
      <c r="AZ65" s="39">
        <f>_xlfn.XLOOKUP(AJ65,[1]Details!$L$14:$L$23,[1]Details!$O$14:$O$23,0,0,1)</f>
        <v>0</v>
      </c>
      <c r="BA65" s="39">
        <f t="shared" ca="1" si="25"/>
        <v>78485193.050268471</v>
      </c>
      <c r="BB65" s="40"/>
      <c r="BC65" s="39">
        <f t="shared" ca="1" si="14"/>
        <v>1021906.7944750667</v>
      </c>
      <c r="BD65" s="39">
        <f t="shared" ca="1" si="26"/>
        <v>1950912.9712705817</v>
      </c>
      <c r="BF65" s="39">
        <f t="shared" ca="1" si="15"/>
        <v>9928241.7324686162</v>
      </c>
      <c r="BG65" s="39">
        <f t="shared" ca="1" si="16"/>
        <v>0</v>
      </c>
      <c r="BH65" s="39">
        <f ca="1">(((BF65+BH64)*(1+'Assumptions Sheet'!AE55)))-BI64+BG65</f>
        <v>135820016.5552038</v>
      </c>
      <c r="BI65" s="39">
        <f ca="1">(IF(BH65&gt;SUM([1]Details!$V$18,[1]Details!$V$19),[1]Details!$V$19,0))</f>
        <v>300000</v>
      </c>
      <c r="BJ65" s="40"/>
      <c r="BK65" s="39">
        <f t="shared" ca="1" si="27"/>
        <v>300000</v>
      </c>
      <c r="BL65" s="39">
        <f ca="1">BK65*(1+'Assumptions Sheet'!AD55)</f>
        <v>315000</v>
      </c>
      <c r="BM65" s="39"/>
      <c r="BN65" s="39">
        <f t="shared" ca="1" si="29"/>
        <v>10794000</v>
      </c>
    </row>
    <row r="66" spans="1:66" ht="14.25" customHeight="1" x14ac:dyDescent="0.3">
      <c r="A66" s="15"/>
      <c r="B66" s="15"/>
      <c r="C66" s="42">
        <f t="shared" si="17"/>
        <v>55</v>
      </c>
      <c r="E66" s="43">
        <f ca="1">E65*(1+'Assumptions Sheet'!E55)</f>
        <v>13695744.602012748</v>
      </c>
      <c r="F66" s="43">
        <f ca="1">F65*(1+'Assumptions Sheet'!F55)</f>
        <v>0</v>
      </c>
      <c r="G66" s="43">
        <f ca="1">G65*(1+'Assumptions Sheet'!G55)</f>
        <v>33096.092205553541</v>
      </c>
      <c r="H66" s="43">
        <f ca="1">H65*(1+'Assumptions Sheet'!H55)</f>
        <v>0</v>
      </c>
      <c r="I66" s="43"/>
      <c r="J66" s="43"/>
      <c r="K66" s="43"/>
      <c r="L66" s="43"/>
      <c r="M66" s="43"/>
      <c r="N66" s="43">
        <f t="shared" ca="1" si="28"/>
        <v>13728840.694218302</v>
      </c>
      <c r="O66" s="40"/>
      <c r="P66" s="43"/>
      <c r="Q66" s="43">
        <f t="shared" si="3"/>
        <v>0</v>
      </c>
      <c r="R66" s="43">
        <f ca="1">R65*(1+'Assumptions Sheet'!Q55)</f>
        <v>241864.94467898534</v>
      </c>
      <c r="S66" s="43">
        <f ca="1">S65*(1+'Assumptions Sheet'!P55)</f>
        <v>168580.32563461096</v>
      </c>
      <c r="T66" s="43">
        <f ca="1">T65*('Assumptions Sheet'!Q55+1)</f>
        <v>161243.29645265682</v>
      </c>
      <c r="U66" s="43">
        <f ca="1">U65*('Assumptions Sheet'!S55+1)</f>
        <v>23676.533965271654</v>
      </c>
      <c r="V66" s="43">
        <f ca="1">V65*(1+'Assumptions Sheet'!Q55)</f>
        <v>322486.59290531365</v>
      </c>
      <c r="W66" s="43">
        <f ca="1">W65*(1+'Assumptions Sheet'!R55)</f>
        <v>138349.56226162231</v>
      </c>
      <c r="X66" s="43">
        <f ca="1">X65*(1+'Assumptions Sheet'!O55)</f>
        <v>548961.61243915942</v>
      </c>
      <c r="Y66" s="43">
        <f t="shared" si="18"/>
        <v>12000</v>
      </c>
      <c r="Z66" s="43">
        <f ca="1">'Assumptions Sheet'!V56</f>
        <v>10000</v>
      </c>
      <c r="AA66" s="41">
        <f t="shared" ca="1" si="5"/>
        <v>1627162.86833762</v>
      </c>
      <c r="AB66" s="40"/>
      <c r="AC66" s="43">
        <f t="shared" ca="1" si="23"/>
        <v>13728840.694218302</v>
      </c>
      <c r="AD66" s="43">
        <f t="shared" ca="1" si="7"/>
        <v>1627162.86833762</v>
      </c>
      <c r="AE66" s="39">
        <f t="shared" ca="1" si="8"/>
        <v>12101677.825880682</v>
      </c>
      <c r="AF66" s="43" t="str" cm="1">
        <f t="array" aca="1" ref="AF66" ca="1">_xlfn.IFS(AE66&lt;0,"Withdrawal From Savings A/C",AND(AE66&gt;0,BH65&lt;[1]Details!$V$18),"Transfer to Emergency Fund",AE66&gt;$AG$29,"Investment Possible",AND(AE66&gt;0,BH65&gt;[1]Details!$V$18),"Investment Possible With Bal")</f>
        <v>Investment Possible</v>
      </c>
      <c r="AG66" s="43" cm="1">
        <f t="array" aca="1" ref="AG66" ca="1">_xlfn.IFS(OR(AF66="Withdrawal From Savings A/C",AF66="Transfer to Emergency Fund"),0,AF66= "Investment Possible With Bal",AE66,AF66= "Investment Possible",MAX($AG$29,$AG65*(1+$AH$25)))</f>
        <v>1124097.4739225733</v>
      </c>
      <c r="AH66" s="43">
        <f t="shared" ca="1" si="30"/>
        <v>10977580.351958109</v>
      </c>
      <c r="AI66" s="40"/>
      <c r="AJ66" s="42">
        <f>'Calc Engine'!$C66</f>
        <v>55</v>
      </c>
      <c r="AK66" s="43">
        <f t="shared" ca="1" si="9"/>
        <v>1124097.4739225733</v>
      </c>
      <c r="AL66" s="43">
        <f t="shared" ca="1" si="20"/>
        <v>11965072.213148296</v>
      </c>
      <c r="AM66" s="40"/>
      <c r="AN66" s="43">
        <f t="shared" ca="1" si="21"/>
        <v>112409.74739225733</v>
      </c>
      <c r="AO66" s="43">
        <f ca="1">(AN66+AQ65)*(1+'Assumptions Sheet'!AA56)</f>
        <v>-14517210.369504249</v>
      </c>
      <c r="AP66" s="39">
        <f>_xlfn.XLOOKUP(AJ66,[1]Details!$L$14:$L$23,[1]Details!$M$14:$M$23,0,0,1)</f>
        <v>0</v>
      </c>
      <c r="AQ66" s="43">
        <f t="shared" ca="1" si="24"/>
        <v>-14517210.369504249</v>
      </c>
      <c r="AR66" s="40"/>
      <c r="AS66" s="43">
        <f t="shared" ca="1" si="22"/>
        <v>112409.74739225733</v>
      </c>
      <c r="AT66" s="43">
        <f ca="1">(AV65+AS66)*(1+'Assumptions Sheet'!AB56)</f>
        <v>-3759579.9077519882</v>
      </c>
      <c r="AU66" s="39">
        <f>_xlfn.XLOOKUP(AJ66,[1]Details!$L$14:$L$23,[1]Details!$N$14:$N$23,0,0,1)</f>
        <v>0</v>
      </c>
      <c r="AV66" s="43">
        <f t="shared" ca="1" si="11"/>
        <v>-3759579.9077519882</v>
      </c>
      <c r="AW66" s="40"/>
      <c r="AX66" s="43">
        <f t="shared" ca="1" si="12"/>
        <v>899277.97913805861</v>
      </c>
      <c r="AY66" s="43">
        <f ca="1">(AX66+BA65)*(1+'Assumptions Sheet'!AC56)</f>
        <v>95261365.23528783</v>
      </c>
      <c r="AZ66" s="39">
        <f>_xlfn.XLOOKUP(AJ66,[1]Details!$L$14:$L$23,[1]Details!$O$14:$O$23,0,0,1)</f>
        <v>0</v>
      </c>
      <c r="BA66" s="43">
        <f t="shared" ca="1" si="25"/>
        <v>95261365.23528783</v>
      </c>
      <c r="BB66" s="40"/>
      <c r="BC66" s="43">
        <f t="shared" ca="1" si="14"/>
        <v>1124097.4739225733</v>
      </c>
      <c r="BD66" s="43">
        <f t="shared" ca="1" si="26"/>
        <v>2146004.26839764</v>
      </c>
      <c r="BF66" s="39">
        <f t="shared" ca="1" si="15"/>
        <v>10977580.351958109</v>
      </c>
      <c r="BG66" s="39">
        <f t="shared" ca="1" si="16"/>
        <v>0</v>
      </c>
      <c r="BH66" s="39">
        <f ca="1">(((BF66+BH65)*(1+'Assumptions Sheet'!AE56)))-BI65+BG66</f>
        <v>150901524.81437674</v>
      </c>
      <c r="BI66" s="39">
        <f ca="1">(IF(BH66&gt;SUM([1]Details!$V$18,[1]Details!$V$19),[1]Details!$V$19,0))</f>
        <v>300000</v>
      </c>
      <c r="BJ66" s="40"/>
      <c r="BK66" s="43">
        <f t="shared" ca="1" si="27"/>
        <v>300000</v>
      </c>
      <c r="BL66" s="43">
        <f ca="1">BK66*(1+'Assumptions Sheet'!AD56)</f>
        <v>315000</v>
      </c>
      <c r="BM66" s="43"/>
      <c r="BN66" s="39">
        <f t="shared" ca="1" si="29"/>
        <v>11109000</v>
      </c>
    </row>
    <row r="67" spans="1:66" ht="14.25" customHeight="1" x14ac:dyDescent="0.3">
      <c r="A67" s="15"/>
      <c r="B67" s="15"/>
      <c r="C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P67" s="46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7"/>
      <c r="AB67" s="15"/>
      <c r="AC67" s="45"/>
      <c r="AD67" s="45"/>
      <c r="AE67" s="45"/>
      <c r="AF67" s="45"/>
      <c r="AG67" s="45"/>
      <c r="AH67" s="45"/>
      <c r="AI67" s="48"/>
      <c r="AJ67" s="45"/>
      <c r="AK67" s="45"/>
      <c r="AL67" s="45"/>
      <c r="AN67" s="45"/>
      <c r="AO67" s="45"/>
      <c r="AP67" s="45"/>
      <c r="AQ67" s="45"/>
      <c r="AS67" s="38"/>
      <c r="AT67" s="38"/>
      <c r="AU67" s="38"/>
      <c r="AV67" s="38"/>
      <c r="AX67" s="49"/>
      <c r="AY67" s="49"/>
      <c r="AZ67" s="49"/>
      <c r="BA67" s="49"/>
      <c r="BC67" s="45"/>
      <c r="BD67" s="45"/>
      <c r="BF67" s="50"/>
      <c r="BG67" s="51"/>
    </row>
    <row r="68" spans="1:66" ht="14.25" customHeight="1" x14ac:dyDescent="0.3">
      <c r="A68" s="15"/>
      <c r="B68" s="15"/>
      <c r="C68" s="34"/>
      <c r="E68" s="15"/>
      <c r="F68" s="15"/>
      <c r="G68" s="15"/>
      <c r="H68" s="15"/>
      <c r="I68" s="15"/>
      <c r="J68" s="15"/>
      <c r="K68" s="15"/>
      <c r="L68" s="15"/>
      <c r="M68" s="15"/>
      <c r="N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N68" s="15"/>
      <c r="AO68" s="15"/>
      <c r="AP68" s="15"/>
      <c r="AQ68" s="15"/>
      <c r="AS68" s="15"/>
      <c r="AT68" s="15"/>
      <c r="AU68" s="15"/>
      <c r="AV68" s="15"/>
      <c r="AX68" s="15"/>
      <c r="AY68" s="15"/>
      <c r="AZ68" s="15"/>
      <c r="BA68" s="15"/>
      <c r="BC68" s="15"/>
      <c r="BF68" s="15"/>
      <c r="BG68" s="15"/>
    </row>
    <row r="69" spans="1:66" ht="14.25" customHeight="1" x14ac:dyDescent="0.3">
      <c r="A69" s="15"/>
      <c r="B69" s="15"/>
      <c r="C69" s="34"/>
      <c r="E69" s="15"/>
      <c r="F69" s="15"/>
      <c r="G69" s="15"/>
      <c r="H69" s="15"/>
      <c r="I69" s="15"/>
      <c r="J69" s="15"/>
      <c r="K69" s="15"/>
      <c r="L69" s="15"/>
      <c r="M69" s="15"/>
      <c r="N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N69" s="15"/>
      <c r="AO69" s="15"/>
      <c r="AP69" s="15"/>
      <c r="AQ69" s="15"/>
      <c r="AS69" s="15"/>
      <c r="AT69" s="15"/>
      <c r="AU69" s="15"/>
      <c r="AV69" s="15"/>
      <c r="AX69" s="15"/>
      <c r="AY69" s="15"/>
      <c r="AZ69" s="15"/>
      <c r="BA69" s="15"/>
      <c r="BC69" s="15"/>
      <c r="BF69" s="15"/>
      <c r="BG69" s="15"/>
    </row>
    <row r="70" spans="1:66" ht="14.25" customHeight="1" x14ac:dyDescent="0.3">
      <c r="A70" s="15"/>
      <c r="B70" s="15"/>
      <c r="C70" s="34"/>
      <c r="E70" s="15"/>
      <c r="F70" s="15"/>
      <c r="G70" s="15"/>
      <c r="H70" s="15"/>
      <c r="I70" s="15"/>
      <c r="J70" s="15"/>
      <c r="K70" s="15"/>
      <c r="L70" s="15"/>
      <c r="M70" s="15"/>
      <c r="N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N70" s="15"/>
      <c r="AO70" s="15"/>
      <c r="AP70" s="15"/>
      <c r="AQ70" s="15"/>
      <c r="AS70" s="15"/>
      <c r="AT70" s="15"/>
      <c r="AU70" s="15"/>
      <c r="AV70" s="15"/>
      <c r="AX70" s="15"/>
      <c r="AY70" s="15"/>
      <c r="AZ70" s="15"/>
      <c r="BA70" s="15"/>
      <c r="BC70" s="20"/>
      <c r="BF70" s="15"/>
      <c r="BG70" s="15"/>
    </row>
    <row r="71" spans="1:66" ht="14.25" customHeight="1" x14ac:dyDescent="0.3">
      <c r="A71" s="15"/>
      <c r="B71" s="15"/>
      <c r="C71" s="34"/>
      <c r="E71" s="15"/>
      <c r="F71" s="15"/>
      <c r="G71" s="15"/>
      <c r="H71" s="15"/>
      <c r="I71" s="15"/>
      <c r="J71" s="15"/>
      <c r="K71" s="15"/>
      <c r="L71" s="15"/>
      <c r="M71" s="15"/>
      <c r="N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N71" s="15"/>
      <c r="AO71" s="15"/>
      <c r="AP71" s="15"/>
      <c r="AQ71" s="15"/>
      <c r="AS71" s="15"/>
      <c r="AT71" s="15"/>
      <c r="AU71" s="15"/>
      <c r="AV71" s="15"/>
      <c r="AX71" s="15"/>
      <c r="AY71" s="15"/>
      <c r="AZ71" s="15"/>
      <c r="BA71" s="15"/>
      <c r="BC71" s="15"/>
      <c r="BF71" s="15"/>
      <c r="BG71" s="15"/>
    </row>
    <row r="72" spans="1:66" ht="14.25" customHeight="1" x14ac:dyDescent="0.3">
      <c r="A72" s="15"/>
      <c r="B72" s="15"/>
      <c r="C72" s="34"/>
      <c r="E72" s="15"/>
      <c r="F72" s="15"/>
      <c r="G72" s="15"/>
      <c r="H72" s="15"/>
      <c r="I72" s="15"/>
      <c r="J72" s="15"/>
      <c r="K72" s="15"/>
      <c r="L72" s="15"/>
      <c r="M72" s="15"/>
      <c r="N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N72" s="15"/>
      <c r="AO72" s="15"/>
      <c r="AP72" s="15"/>
      <c r="AQ72" s="15"/>
      <c r="AS72" s="15"/>
      <c r="AT72" s="15"/>
      <c r="AU72" s="15"/>
      <c r="AV72" s="15"/>
      <c r="AX72" s="15"/>
      <c r="AY72" s="15"/>
      <c r="AZ72" s="15"/>
      <c r="BA72" s="15"/>
      <c r="BC72" s="15"/>
      <c r="BF72" s="15"/>
      <c r="BG72" s="15"/>
    </row>
    <row r="73" spans="1:66" ht="14.25" customHeight="1" x14ac:dyDescent="0.3">
      <c r="A73" s="15"/>
      <c r="B73" s="15"/>
      <c r="C73" s="34"/>
      <c r="E73" s="15"/>
      <c r="F73" s="15"/>
      <c r="G73" s="15"/>
      <c r="H73" s="15"/>
      <c r="I73" s="15"/>
      <c r="J73" s="15"/>
      <c r="K73" s="15"/>
      <c r="L73" s="15"/>
      <c r="M73" s="15"/>
      <c r="N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N73" s="15"/>
      <c r="AO73" s="15"/>
      <c r="AP73" s="15"/>
      <c r="AQ73" s="15"/>
      <c r="AS73" s="15"/>
      <c r="AT73" s="15"/>
      <c r="AU73" s="15"/>
      <c r="AV73" s="15"/>
      <c r="AX73" s="15"/>
      <c r="AY73" s="15"/>
      <c r="AZ73" s="15"/>
      <c r="BA73" s="15"/>
      <c r="BC73" s="15"/>
      <c r="BF73" s="15"/>
      <c r="BG73" s="15"/>
    </row>
    <row r="74" spans="1:66" ht="14.25" customHeight="1" x14ac:dyDescent="0.3">
      <c r="A74" s="15"/>
      <c r="B74" s="15"/>
      <c r="C74" s="34"/>
      <c r="E74" s="15"/>
      <c r="F74" s="15"/>
      <c r="G74" s="15"/>
      <c r="H74" s="15"/>
      <c r="I74" s="15"/>
      <c r="J74" s="15"/>
      <c r="K74" s="15"/>
      <c r="L74" s="15"/>
      <c r="M74" s="15"/>
      <c r="N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N74" s="15"/>
      <c r="AO74" s="15"/>
      <c r="AP74" s="15"/>
      <c r="AQ74" s="15"/>
      <c r="AS74" s="15"/>
      <c r="AT74" s="15"/>
      <c r="AU74" s="15"/>
      <c r="AV74" s="15"/>
      <c r="AX74" s="15"/>
      <c r="AY74" s="15"/>
      <c r="AZ74" s="15"/>
      <c r="BA74" s="15"/>
      <c r="BC74" s="15"/>
      <c r="BF74" s="15"/>
      <c r="BG74" s="15"/>
    </row>
    <row r="75" spans="1:66" ht="14.25" customHeight="1" x14ac:dyDescent="0.3">
      <c r="A75" s="15"/>
      <c r="B75" s="15"/>
      <c r="C75" s="34"/>
      <c r="E75" s="15"/>
      <c r="F75" s="15"/>
      <c r="G75" s="15"/>
      <c r="H75" s="15"/>
      <c r="I75" s="15"/>
      <c r="J75" s="15"/>
      <c r="K75" s="15"/>
      <c r="L75" s="15"/>
      <c r="M75" s="15"/>
      <c r="N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N75" s="15"/>
      <c r="AO75" s="15"/>
      <c r="AP75" s="15"/>
      <c r="AQ75" s="15"/>
      <c r="AS75" s="15"/>
      <c r="AT75" s="15"/>
      <c r="AU75" s="15"/>
      <c r="AV75" s="15"/>
      <c r="AX75" s="15"/>
      <c r="AY75" s="15"/>
      <c r="AZ75" s="15"/>
      <c r="BA75" s="15"/>
      <c r="BC75" s="15"/>
      <c r="BF75" s="15"/>
      <c r="BG75" s="15"/>
    </row>
    <row r="76" spans="1:66" ht="14.25" customHeight="1" x14ac:dyDescent="0.3">
      <c r="A76" s="15"/>
      <c r="B76" s="15"/>
      <c r="C76" s="34"/>
      <c r="E76" s="15"/>
      <c r="F76" s="15"/>
      <c r="G76" s="15"/>
      <c r="H76" s="15"/>
      <c r="I76" s="15"/>
      <c r="J76" s="15"/>
      <c r="K76" s="15"/>
      <c r="L76" s="15"/>
      <c r="M76" s="15"/>
      <c r="N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N76" s="15"/>
      <c r="AO76" s="15"/>
      <c r="AP76" s="15"/>
      <c r="AQ76" s="15"/>
      <c r="AS76" s="15"/>
      <c r="AT76" s="15"/>
      <c r="AU76" s="15"/>
      <c r="AV76" s="15"/>
      <c r="AX76" s="15"/>
      <c r="AY76" s="15"/>
      <c r="AZ76" s="15"/>
      <c r="BA76" s="15"/>
      <c r="BC76" s="15"/>
      <c r="BF76" s="15"/>
      <c r="BG76" s="15"/>
    </row>
    <row r="77" spans="1:66" ht="14.25" customHeight="1" x14ac:dyDescent="0.3">
      <c r="A77" s="15"/>
      <c r="B77" s="15"/>
      <c r="C77" s="34"/>
      <c r="E77" s="15"/>
      <c r="F77" s="15"/>
      <c r="G77" s="15"/>
      <c r="H77" s="15"/>
      <c r="I77" s="15"/>
      <c r="J77" s="15"/>
      <c r="K77" s="15"/>
      <c r="L77" s="15"/>
      <c r="M77" s="15"/>
      <c r="N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N77" s="15"/>
      <c r="AO77" s="15"/>
      <c r="AP77" s="15"/>
      <c r="AQ77" s="15"/>
      <c r="AS77" s="15"/>
      <c r="AT77" s="15"/>
      <c r="AU77" s="15"/>
      <c r="AV77" s="15"/>
      <c r="AX77" s="15"/>
      <c r="AY77" s="15"/>
      <c r="AZ77" s="15"/>
      <c r="BA77" s="15"/>
      <c r="BC77" s="15"/>
      <c r="BF77" s="15"/>
      <c r="BG77" s="15"/>
    </row>
    <row r="78" spans="1:66" ht="14.25" customHeight="1" x14ac:dyDescent="0.3">
      <c r="A78" s="15"/>
      <c r="B78" s="15"/>
      <c r="C78" s="34"/>
      <c r="E78" s="15"/>
      <c r="F78" s="15"/>
      <c r="G78" s="15"/>
      <c r="H78" s="15"/>
      <c r="I78" s="15"/>
      <c r="J78" s="15"/>
      <c r="K78" s="15"/>
      <c r="L78" s="15"/>
      <c r="M78" s="15"/>
      <c r="N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N78" s="15"/>
      <c r="AO78" s="15"/>
      <c r="AP78" s="15"/>
      <c r="AQ78" s="15"/>
      <c r="AS78" s="15"/>
      <c r="AT78" s="15"/>
      <c r="AU78" s="15"/>
      <c r="AV78" s="15"/>
      <c r="AX78" s="15"/>
      <c r="AY78" s="15"/>
      <c r="AZ78" s="15"/>
      <c r="BA78" s="15"/>
      <c r="BC78" s="15"/>
      <c r="BF78" s="15"/>
      <c r="BG78" s="15"/>
    </row>
    <row r="79" spans="1:66" ht="14.25" customHeight="1" x14ac:dyDescent="0.3">
      <c r="A79" s="15"/>
      <c r="B79" s="15"/>
      <c r="C79" s="34"/>
      <c r="E79" s="15"/>
      <c r="F79" s="15"/>
      <c r="G79" s="15"/>
      <c r="H79" s="15"/>
      <c r="I79" s="15"/>
      <c r="J79" s="15"/>
      <c r="K79" s="15"/>
      <c r="L79" s="15"/>
      <c r="M79" s="15"/>
      <c r="N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N79" s="15"/>
      <c r="AO79" s="15"/>
      <c r="AP79" s="15"/>
      <c r="AQ79" s="15"/>
      <c r="AS79" s="15"/>
      <c r="AT79" s="15"/>
      <c r="AU79" s="15"/>
      <c r="AV79" s="15"/>
      <c r="AX79" s="15"/>
      <c r="AY79" s="15"/>
      <c r="AZ79" s="15"/>
      <c r="BA79" s="15"/>
      <c r="BC79" s="15"/>
      <c r="BF79" s="15"/>
      <c r="BG79" s="15"/>
    </row>
    <row r="80" spans="1:66" ht="14.25" customHeight="1" x14ac:dyDescent="0.3">
      <c r="A80" s="15"/>
      <c r="B80" s="15"/>
      <c r="C80" s="34"/>
      <c r="E80" s="15"/>
      <c r="F80" s="15"/>
      <c r="G80" s="15"/>
      <c r="H80" s="15"/>
      <c r="I80" s="15"/>
      <c r="J80" s="15"/>
      <c r="K80" s="15"/>
      <c r="L80" s="15"/>
      <c r="M80" s="15"/>
      <c r="N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N80" s="15"/>
      <c r="AO80" s="15"/>
      <c r="AP80" s="15"/>
      <c r="AQ80" s="15"/>
      <c r="AS80" s="15"/>
      <c r="AT80" s="15"/>
      <c r="AU80" s="15"/>
      <c r="AV80" s="15"/>
      <c r="AX80" s="15"/>
      <c r="AY80" s="15"/>
      <c r="AZ80" s="15"/>
      <c r="BA80" s="15"/>
      <c r="BC80" s="15"/>
      <c r="BF80" s="15"/>
      <c r="BG80" s="15"/>
    </row>
    <row r="81" spans="1:59" ht="14.25" customHeight="1" x14ac:dyDescent="0.3">
      <c r="A81" s="15"/>
      <c r="B81" s="15"/>
      <c r="C81" s="34"/>
      <c r="E81" s="15"/>
      <c r="F81" s="15"/>
      <c r="G81" s="15"/>
      <c r="H81" s="15"/>
      <c r="I81" s="15"/>
      <c r="J81" s="15"/>
      <c r="K81" s="15"/>
      <c r="L81" s="15"/>
      <c r="M81" s="15"/>
      <c r="N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N81" s="15"/>
      <c r="AO81" s="15"/>
      <c r="AP81" s="15"/>
      <c r="AQ81" s="15"/>
      <c r="AS81" s="15"/>
      <c r="AT81" s="15"/>
      <c r="AU81" s="15"/>
      <c r="AV81" s="15"/>
      <c r="AX81" s="15"/>
      <c r="AY81" s="15"/>
      <c r="AZ81" s="15"/>
      <c r="BA81" s="15"/>
      <c r="BC81" s="15"/>
      <c r="BF81" s="15"/>
      <c r="BG81" s="15"/>
    </row>
    <row r="82" spans="1:59" ht="14.25" customHeight="1" x14ac:dyDescent="0.3">
      <c r="A82" s="15"/>
      <c r="B82" s="15"/>
      <c r="C82" s="34"/>
      <c r="E82" s="15"/>
      <c r="F82" s="15"/>
      <c r="G82" s="15"/>
      <c r="H82" s="15"/>
      <c r="I82" s="15"/>
      <c r="J82" s="15"/>
      <c r="K82" s="15"/>
      <c r="L82" s="15"/>
      <c r="M82" s="15"/>
      <c r="N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N82" s="15"/>
      <c r="AO82" s="15"/>
      <c r="AP82" s="15"/>
      <c r="AQ82" s="15"/>
      <c r="AS82" s="15"/>
      <c r="AT82" s="15"/>
      <c r="AU82" s="15"/>
      <c r="AV82" s="15"/>
      <c r="AX82" s="15"/>
      <c r="AY82" s="15"/>
      <c r="AZ82" s="15"/>
      <c r="BA82" s="15"/>
      <c r="BC82" s="15"/>
      <c r="BF82" s="15"/>
      <c r="BG82" s="15"/>
    </row>
    <row r="83" spans="1:59" ht="14.25" customHeight="1" x14ac:dyDescent="0.3">
      <c r="A83" s="15"/>
      <c r="B83" s="15"/>
      <c r="C83" s="34"/>
      <c r="E83" s="15"/>
      <c r="F83" s="15"/>
      <c r="G83" s="15"/>
      <c r="H83" s="15"/>
      <c r="I83" s="15"/>
      <c r="J83" s="15"/>
      <c r="K83" s="15"/>
      <c r="L83" s="15"/>
      <c r="M83" s="15"/>
      <c r="N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N83" s="15"/>
      <c r="AO83" s="15"/>
      <c r="AP83" s="15"/>
      <c r="AQ83" s="15"/>
      <c r="AS83" s="15"/>
      <c r="AT83" s="15"/>
      <c r="AU83" s="15"/>
      <c r="AV83" s="15"/>
      <c r="AX83" s="15"/>
      <c r="AY83" s="15"/>
      <c r="AZ83" s="15"/>
      <c r="BA83" s="15"/>
      <c r="BC83" s="15"/>
      <c r="BF83" s="15"/>
      <c r="BG83" s="15"/>
    </row>
    <row r="84" spans="1:59" ht="14.25" customHeight="1" x14ac:dyDescent="0.3">
      <c r="A84" s="15"/>
      <c r="B84" s="15"/>
      <c r="C84" s="34"/>
      <c r="E84" s="15"/>
      <c r="F84" s="15"/>
      <c r="G84" s="15"/>
      <c r="H84" s="15"/>
      <c r="I84" s="15"/>
      <c r="J84" s="15"/>
      <c r="K84" s="15"/>
      <c r="L84" s="15"/>
      <c r="M84" s="15"/>
      <c r="N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N84" s="15"/>
      <c r="AO84" s="15"/>
      <c r="AP84" s="15"/>
      <c r="AQ84" s="15"/>
      <c r="AS84" s="15"/>
      <c r="AT84" s="15"/>
      <c r="AU84" s="15"/>
      <c r="AV84" s="15"/>
      <c r="AX84" s="15"/>
      <c r="AY84" s="15"/>
      <c r="AZ84" s="15"/>
      <c r="BA84" s="15"/>
      <c r="BC84" s="15"/>
      <c r="BF84" s="15"/>
      <c r="BG84" s="15"/>
    </row>
    <row r="85" spans="1:59" ht="14.25" customHeight="1" x14ac:dyDescent="0.3">
      <c r="A85" s="15"/>
      <c r="B85" s="15"/>
      <c r="C85" s="34"/>
      <c r="E85" s="15"/>
      <c r="F85" s="15"/>
      <c r="G85" s="15"/>
      <c r="H85" s="15"/>
      <c r="I85" s="15"/>
      <c r="J85" s="15"/>
      <c r="K85" s="15"/>
      <c r="L85" s="15"/>
      <c r="M85" s="15"/>
      <c r="N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N85" s="15"/>
      <c r="AO85" s="15"/>
      <c r="AP85" s="15"/>
      <c r="AQ85" s="15"/>
      <c r="AS85" s="15"/>
      <c r="AT85" s="15"/>
      <c r="AU85" s="15"/>
      <c r="AV85" s="15"/>
      <c r="AX85" s="15"/>
      <c r="AY85" s="15"/>
      <c r="AZ85" s="15"/>
      <c r="BA85" s="15"/>
      <c r="BC85" s="15"/>
      <c r="BF85" s="15"/>
      <c r="BG85" s="15"/>
    </row>
    <row r="86" spans="1:59" ht="14.25" customHeight="1" x14ac:dyDescent="0.3">
      <c r="A86" s="15"/>
      <c r="B86" s="15"/>
      <c r="C86" s="34"/>
      <c r="E86" s="15"/>
      <c r="F86" s="15"/>
      <c r="G86" s="15"/>
      <c r="H86" s="15"/>
      <c r="I86" s="15"/>
      <c r="J86" s="15"/>
      <c r="K86" s="15"/>
      <c r="L86" s="15"/>
      <c r="M86" s="15"/>
      <c r="N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N86" s="15"/>
      <c r="AO86" s="15"/>
      <c r="AP86" s="15"/>
      <c r="AQ86" s="15"/>
      <c r="AS86" s="15"/>
      <c r="AT86" s="15"/>
      <c r="AU86" s="15"/>
      <c r="AV86" s="15"/>
      <c r="AX86" s="15"/>
      <c r="AY86" s="15"/>
      <c r="AZ86" s="15"/>
      <c r="BA86" s="15"/>
      <c r="BC86" s="15"/>
      <c r="BF86" s="15"/>
      <c r="BG86" s="15"/>
    </row>
    <row r="87" spans="1:59" ht="14.25" customHeight="1" x14ac:dyDescent="0.3">
      <c r="A87" s="15"/>
      <c r="B87" s="15"/>
      <c r="C87" s="34"/>
      <c r="E87" s="15"/>
      <c r="F87" s="15"/>
      <c r="G87" s="15"/>
      <c r="H87" s="15"/>
      <c r="I87" s="15"/>
      <c r="J87" s="15"/>
      <c r="K87" s="15"/>
      <c r="L87" s="15"/>
      <c r="M87" s="15"/>
      <c r="N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N87" s="15"/>
      <c r="AO87" s="15"/>
      <c r="AP87" s="15"/>
      <c r="AQ87" s="15"/>
      <c r="AS87" s="15"/>
      <c r="AT87" s="15"/>
      <c r="AU87" s="15"/>
      <c r="AV87" s="15"/>
      <c r="AX87" s="15"/>
      <c r="AY87" s="15"/>
      <c r="AZ87" s="15"/>
      <c r="BA87" s="15"/>
      <c r="BC87" s="15"/>
      <c r="BF87" s="15"/>
      <c r="BG87" s="15"/>
    </row>
    <row r="88" spans="1:59" ht="14.25" customHeight="1" x14ac:dyDescent="0.3">
      <c r="A88" s="15"/>
      <c r="B88" s="15"/>
      <c r="C88" s="34"/>
      <c r="E88" s="15"/>
      <c r="F88" s="15"/>
      <c r="G88" s="15"/>
      <c r="H88" s="15"/>
      <c r="I88" s="15"/>
      <c r="J88" s="15"/>
      <c r="K88" s="15"/>
      <c r="L88" s="15"/>
      <c r="M88" s="15"/>
      <c r="N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N88" s="15"/>
      <c r="AO88" s="15"/>
      <c r="AP88" s="15"/>
      <c r="AQ88" s="15"/>
      <c r="AS88" s="15"/>
      <c r="AT88" s="15"/>
      <c r="AU88" s="15"/>
      <c r="AV88" s="15"/>
      <c r="AX88" s="15"/>
      <c r="AY88" s="15"/>
      <c r="AZ88" s="15"/>
      <c r="BA88" s="15"/>
      <c r="BC88" s="15"/>
      <c r="BF88" s="15"/>
      <c r="BG88" s="15"/>
    </row>
    <row r="89" spans="1:59" ht="14.25" customHeight="1" x14ac:dyDescent="0.3">
      <c r="A89" s="15"/>
      <c r="B89" s="15"/>
      <c r="C89" s="34"/>
      <c r="E89" s="15"/>
      <c r="F89" s="15"/>
      <c r="G89" s="15"/>
      <c r="H89" s="15"/>
      <c r="I89" s="15"/>
      <c r="J89" s="15"/>
      <c r="K89" s="15"/>
      <c r="L89" s="15"/>
      <c r="M89" s="15"/>
      <c r="N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N89" s="15"/>
      <c r="AO89" s="15"/>
      <c r="AP89" s="15"/>
      <c r="AQ89" s="15"/>
      <c r="AS89" s="15"/>
      <c r="AT89" s="15"/>
      <c r="AU89" s="15"/>
      <c r="AV89" s="15"/>
      <c r="AX89" s="15"/>
      <c r="AY89" s="15"/>
      <c r="AZ89" s="15"/>
      <c r="BA89" s="15"/>
      <c r="BC89" s="15"/>
      <c r="BF89" s="15"/>
      <c r="BG89" s="15"/>
    </row>
    <row r="90" spans="1:59" ht="14.25" customHeight="1" x14ac:dyDescent="0.3">
      <c r="A90" s="15"/>
      <c r="B90" s="15"/>
      <c r="C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N90" s="15"/>
      <c r="AO90" s="15"/>
      <c r="AP90" s="15"/>
      <c r="AQ90" s="15"/>
      <c r="AS90" s="15"/>
      <c r="AT90" s="15"/>
      <c r="AU90" s="15"/>
      <c r="AV90" s="15"/>
      <c r="AX90" s="15"/>
      <c r="AY90" s="15"/>
      <c r="AZ90" s="15"/>
      <c r="BA90" s="15"/>
      <c r="BC90" s="15"/>
      <c r="BF90" s="15"/>
      <c r="BG90" s="15"/>
    </row>
    <row r="91" spans="1:59" ht="14.25" customHeight="1" x14ac:dyDescent="0.3">
      <c r="A91" s="15"/>
      <c r="B91" s="15"/>
      <c r="C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N91" s="15"/>
      <c r="AO91" s="15"/>
      <c r="AP91" s="15"/>
      <c r="AQ91" s="15"/>
      <c r="AS91" s="15"/>
      <c r="AT91" s="15"/>
      <c r="AU91" s="15"/>
      <c r="AV91" s="15"/>
      <c r="AX91" s="15"/>
      <c r="AY91" s="15"/>
      <c r="AZ91" s="15"/>
      <c r="BA91" s="15"/>
      <c r="BC91" s="15"/>
      <c r="BF91" s="15"/>
      <c r="BG91" s="15"/>
    </row>
    <row r="92" spans="1:59" ht="14.25" customHeight="1" x14ac:dyDescent="0.3">
      <c r="A92" s="15"/>
      <c r="B92" s="15"/>
      <c r="C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N92" s="15"/>
      <c r="AO92" s="15"/>
      <c r="AP92" s="15"/>
      <c r="AQ92" s="15"/>
      <c r="AS92" s="15"/>
      <c r="AT92" s="15"/>
      <c r="AU92" s="15"/>
      <c r="AV92" s="15"/>
      <c r="AX92" s="15"/>
      <c r="AY92" s="15"/>
      <c r="AZ92" s="15"/>
      <c r="BA92" s="15"/>
      <c r="BC92" s="15"/>
      <c r="BF92" s="15"/>
      <c r="BG92" s="15"/>
    </row>
    <row r="93" spans="1:59" ht="14.25" customHeight="1" x14ac:dyDescent="0.3">
      <c r="A93" s="15"/>
      <c r="B93" s="15"/>
      <c r="C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N93" s="15"/>
      <c r="AO93" s="15"/>
      <c r="AP93" s="15"/>
      <c r="AQ93" s="15"/>
      <c r="AS93" s="15"/>
      <c r="AT93" s="15"/>
      <c r="AU93" s="15"/>
      <c r="AV93" s="15"/>
      <c r="AX93" s="15"/>
      <c r="AY93" s="15"/>
      <c r="AZ93" s="15"/>
      <c r="BA93" s="15"/>
      <c r="BC93" s="15"/>
      <c r="BF93" s="15"/>
      <c r="BG93" s="15"/>
    </row>
    <row r="94" spans="1:59" ht="14.25" customHeight="1" x14ac:dyDescent="0.3">
      <c r="A94" s="15"/>
      <c r="B94" s="15"/>
      <c r="C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N94" s="15"/>
      <c r="AO94" s="15"/>
      <c r="AP94" s="15"/>
      <c r="AQ94" s="15"/>
      <c r="AS94" s="15"/>
      <c r="AT94" s="15"/>
      <c r="AU94" s="15"/>
      <c r="AV94" s="15"/>
      <c r="AX94" s="15"/>
      <c r="AY94" s="15"/>
      <c r="AZ94" s="15"/>
      <c r="BA94" s="15"/>
      <c r="BC94" s="15"/>
      <c r="BF94" s="15"/>
      <c r="BG94" s="15"/>
    </row>
    <row r="95" spans="1:59" ht="14.25" customHeight="1" x14ac:dyDescent="0.3">
      <c r="A95" s="15"/>
      <c r="B95" s="15"/>
      <c r="C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N95" s="15"/>
      <c r="AO95" s="15"/>
      <c r="AP95" s="15"/>
      <c r="AQ95" s="15"/>
      <c r="AS95" s="15"/>
      <c r="AT95" s="15"/>
      <c r="AU95" s="15"/>
      <c r="AV95" s="15"/>
      <c r="AX95" s="15"/>
      <c r="AY95" s="15"/>
      <c r="AZ95" s="15"/>
      <c r="BA95" s="15"/>
      <c r="BC95" s="15"/>
      <c r="BF95" s="15"/>
      <c r="BG95" s="15"/>
    </row>
    <row r="96" spans="1:59" ht="14.25" customHeight="1" x14ac:dyDescent="0.3">
      <c r="A96" s="15"/>
      <c r="B96" s="15"/>
      <c r="C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N96" s="15"/>
      <c r="AO96" s="15"/>
      <c r="AP96" s="15"/>
      <c r="AQ96" s="15"/>
      <c r="AS96" s="15"/>
      <c r="AT96" s="15"/>
      <c r="AU96" s="15"/>
      <c r="AV96" s="15"/>
      <c r="AX96" s="15"/>
      <c r="AY96" s="15"/>
      <c r="AZ96" s="15"/>
      <c r="BA96" s="15"/>
      <c r="BC96" s="15"/>
      <c r="BF96" s="15"/>
      <c r="BG96" s="15"/>
    </row>
    <row r="97" spans="1:59" ht="14.25" customHeight="1" x14ac:dyDescent="0.3">
      <c r="A97" s="15"/>
      <c r="B97" s="15"/>
      <c r="C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N97" s="15"/>
      <c r="AO97" s="15"/>
      <c r="AP97" s="15"/>
      <c r="AQ97" s="15"/>
      <c r="AS97" s="15"/>
      <c r="AT97" s="15"/>
      <c r="AU97" s="15"/>
      <c r="AV97" s="15"/>
      <c r="AX97" s="15"/>
      <c r="AY97" s="15"/>
      <c r="AZ97" s="15"/>
      <c r="BA97" s="15"/>
      <c r="BC97" s="15"/>
      <c r="BF97" s="15"/>
      <c r="BG97" s="15"/>
    </row>
    <row r="98" spans="1:59" ht="14.25" customHeight="1" x14ac:dyDescent="0.3">
      <c r="A98" s="15"/>
      <c r="B98" s="15"/>
      <c r="C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N98" s="15"/>
      <c r="AO98" s="15"/>
      <c r="AP98" s="15"/>
      <c r="AQ98" s="15"/>
      <c r="AS98" s="15"/>
      <c r="AT98" s="15"/>
      <c r="AU98" s="15"/>
      <c r="AV98" s="15"/>
      <c r="AX98" s="15"/>
      <c r="AY98" s="15"/>
      <c r="AZ98" s="15"/>
      <c r="BA98" s="15"/>
      <c r="BC98" s="15"/>
      <c r="BF98" s="15"/>
      <c r="BG98" s="15"/>
    </row>
    <row r="99" spans="1:59" ht="14.25" customHeight="1" x14ac:dyDescent="0.3">
      <c r="A99" s="15"/>
      <c r="B99" s="15"/>
      <c r="C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N99" s="15"/>
      <c r="AO99" s="15"/>
      <c r="AP99" s="15"/>
      <c r="AQ99" s="15"/>
      <c r="AS99" s="15"/>
      <c r="AT99" s="15"/>
      <c r="AU99" s="15"/>
      <c r="AV99" s="15"/>
      <c r="AX99" s="15"/>
      <c r="AY99" s="15"/>
      <c r="AZ99" s="15"/>
      <c r="BA99" s="15"/>
      <c r="BC99" s="15"/>
      <c r="BF99" s="15"/>
      <c r="BG99" s="15"/>
    </row>
    <row r="100" spans="1:59" ht="14.25" customHeight="1" x14ac:dyDescent="0.3">
      <c r="A100" s="15"/>
      <c r="B100" s="15"/>
      <c r="C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N100" s="15"/>
      <c r="AO100" s="15"/>
      <c r="AP100" s="15"/>
      <c r="AQ100" s="15"/>
      <c r="AS100" s="15"/>
      <c r="AT100" s="15"/>
      <c r="AU100" s="15"/>
      <c r="AV100" s="15"/>
      <c r="AX100" s="15"/>
      <c r="AY100" s="15"/>
      <c r="AZ100" s="15"/>
      <c r="BA100" s="15"/>
      <c r="BC100" s="15"/>
      <c r="BF100" s="15"/>
      <c r="BG100" s="15"/>
    </row>
    <row r="101" spans="1:59" ht="14.25" customHeight="1" x14ac:dyDescent="0.3">
      <c r="A101" s="15"/>
      <c r="B101" s="15"/>
      <c r="C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N101" s="15"/>
      <c r="AO101" s="15"/>
      <c r="AP101" s="15"/>
      <c r="AQ101" s="15"/>
      <c r="AS101" s="15"/>
      <c r="AT101" s="15"/>
      <c r="AU101" s="15"/>
      <c r="AV101" s="15"/>
      <c r="AX101" s="15"/>
      <c r="AY101" s="15"/>
      <c r="AZ101" s="15"/>
      <c r="BA101" s="15"/>
      <c r="BC101" s="15"/>
      <c r="BF101" s="15"/>
      <c r="BG101" s="15"/>
    </row>
    <row r="102" spans="1:59" ht="14.25" customHeight="1" x14ac:dyDescent="0.3">
      <c r="A102" s="15"/>
      <c r="B102" s="15"/>
      <c r="C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N102" s="15"/>
      <c r="AO102" s="15"/>
      <c r="AP102" s="15"/>
      <c r="AQ102" s="15"/>
      <c r="AS102" s="15"/>
      <c r="AT102" s="15"/>
      <c r="AU102" s="15"/>
      <c r="AV102" s="15"/>
      <c r="AX102" s="15"/>
      <c r="AY102" s="15"/>
      <c r="AZ102" s="15"/>
      <c r="BA102" s="15"/>
      <c r="BC102" s="15"/>
      <c r="BF102" s="15"/>
      <c r="BG102" s="15"/>
    </row>
    <row r="103" spans="1:59" ht="14.25" customHeight="1" x14ac:dyDescent="0.3">
      <c r="A103" s="15"/>
      <c r="B103" s="15"/>
      <c r="C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N103" s="15"/>
      <c r="AO103" s="15"/>
      <c r="AP103" s="15"/>
      <c r="AQ103" s="15"/>
      <c r="AS103" s="15"/>
      <c r="AT103" s="15"/>
      <c r="AU103" s="15"/>
      <c r="AV103" s="15"/>
      <c r="AX103" s="15"/>
      <c r="AY103" s="15"/>
      <c r="AZ103" s="15"/>
      <c r="BA103" s="15"/>
      <c r="BC103" s="15"/>
      <c r="BF103" s="15"/>
      <c r="BG103" s="15"/>
    </row>
    <row r="104" spans="1:59" ht="14.25" customHeight="1" x14ac:dyDescent="0.3">
      <c r="A104" s="15"/>
      <c r="B104" s="15"/>
      <c r="C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N104" s="15"/>
      <c r="AO104" s="15"/>
      <c r="AP104" s="15"/>
      <c r="AQ104" s="15"/>
      <c r="AS104" s="15"/>
      <c r="AT104" s="15"/>
      <c r="AU104" s="15"/>
      <c r="AV104" s="15"/>
      <c r="AX104" s="15"/>
      <c r="AY104" s="15"/>
      <c r="AZ104" s="15"/>
      <c r="BA104" s="15"/>
      <c r="BC104" s="15"/>
      <c r="BF104" s="15"/>
      <c r="BG104" s="15"/>
    </row>
    <row r="105" spans="1:59" ht="14.25" customHeight="1" x14ac:dyDescent="0.3">
      <c r="A105" s="15"/>
      <c r="B105" s="15"/>
      <c r="C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N105" s="15"/>
      <c r="AO105" s="15"/>
      <c r="AP105" s="15"/>
      <c r="AQ105" s="15"/>
      <c r="AS105" s="15"/>
      <c r="AT105" s="15"/>
      <c r="AU105" s="15"/>
      <c r="AV105" s="15"/>
      <c r="AX105" s="15"/>
      <c r="AY105" s="15"/>
      <c r="AZ105" s="15"/>
      <c r="BA105" s="15"/>
      <c r="BC105" s="15"/>
      <c r="BF105" s="15"/>
      <c r="BG105" s="15"/>
    </row>
    <row r="106" spans="1:59" ht="14.25" customHeight="1" x14ac:dyDescent="0.3">
      <c r="A106" s="15"/>
      <c r="B106" s="15"/>
      <c r="C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N106" s="15"/>
      <c r="AO106" s="15"/>
      <c r="AP106" s="15"/>
      <c r="AQ106" s="15"/>
      <c r="AS106" s="15"/>
      <c r="AT106" s="15"/>
      <c r="AU106" s="15"/>
      <c r="AV106" s="15"/>
      <c r="AX106" s="15"/>
      <c r="AY106" s="15"/>
      <c r="AZ106" s="15"/>
      <c r="BA106" s="15"/>
      <c r="BC106" s="15"/>
      <c r="BF106" s="15"/>
      <c r="BG106" s="15"/>
    </row>
    <row r="107" spans="1:59" ht="14.25" customHeight="1" x14ac:dyDescent="0.3">
      <c r="A107" s="15"/>
      <c r="B107" s="15"/>
      <c r="C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N107" s="15"/>
      <c r="AO107" s="15"/>
      <c r="AP107" s="15"/>
      <c r="AQ107" s="15"/>
      <c r="AS107" s="15"/>
      <c r="AT107" s="15"/>
      <c r="AU107" s="15"/>
      <c r="AV107" s="15"/>
      <c r="AX107" s="15"/>
      <c r="AY107" s="15"/>
      <c r="AZ107" s="15"/>
      <c r="BA107" s="15"/>
      <c r="BC107" s="15"/>
      <c r="BF107" s="15"/>
      <c r="BG107" s="15"/>
    </row>
    <row r="108" spans="1:59" ht="14.25" customHeight="1" x14ac:dyDescent="0.3">
      <c r="A108" s="15"/>
      <c r="B108" s="15"/>
      <c r="C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N108" s="15"/>
      <c r="AO108" s="15"/>
      <c r="AP108" s="15"/>
      <c r="AQ108" s="15"/>
      <c r="AS108" s="15"/>
      <c r="AT108" s="15"/>
      <c r="AU108" s="15"/>
      <c r="AV108" s="15"/>
      <c r="AX108" s="15"/>
      <c r="AY108" s="15"/>
      <c r="AZ108" s="15"/>
      <c r="BA108" s="15"/>
      <c r="BC108" s="15"/>
      <c r="BF108" s="15"/>
      <c r="BG108" s="15"/>
    </row>
    <row r="109" spans="1:59" ht="14.25" customHeight="1" x14ac:dyDescent="0.3">
      <c r="A109" s="15"/>
      <c r="B109" s="15"/>
      <c r="C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N109" s="15"/>
      <c r="AO109" s="15"/>
      <c r="AP109" s="15"/>
      <c r="AQ109" s="15"/>
      <c r="AS109" s="15"/>
      <c r="AT109" s="15"/>
      <c r="AU109" s="15"/>
      <c r="AV109" s="15"/>
      <c r="AX109" s="15"/>
      <c r="AY109" s="15"/>
      <c r="AZ109" s="15"/>
      <c r="BA109" s="15"/>
      <c r="BC109" s="15"/>
      <c r="BF109" s="15"/>
      <c r="BG109" s="15"/>
    </row>
    <row r="110" spans="1:59" ht="14.25" customHeight="1" x14ac:dyDescent="0.3">
      <c r="A110" s="15"/>
      <c r="B110" s="15"/>
      <c r="C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N110" s="15"/>
      <c r="AO110" s="15"/>
      <c r="AP110" s="15"/>
      <c r="AQ110" s="15"/>
      <c r="AS110" s="15"/>
      <c r="AT110" s="15"/>
      <c r="AU110" s="15"/>
      <c r="AV110" s="15"/>
      <c r="AX110" s="15"/>
      <c r="AY110" s="15"/>
      <c r="AZ110" s="15"/>
      <c r="BA110" s="15"/>
      <c r="BC110" s="15"/>
      <c r="BF110" s="15"/>
      <c r="BG110" s="15"/>
    </row>
    <row r="111" spans="1:59" ht="14.25" customHeight="1" x14ac:dyDescent="0.3">
      <c r="A111" s="15"/>
      <c r="B111" s="15"/>
      <c r="C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N111" s="15"/>
      <c r="AO111" s="15"/>
      <c r="AP111" s="15"/>
      <c r="AQ111" s="15"/>
      <c r="AS111" s="15"/>
      <c r="AT111" s="15"/>
      <c r="AU111" s="15"/>
      <c r="AV111" s="15"/>
      <c r="AX111" s="15"/>
      <c r="AY111" s="15"/>
      <c r="AZ111" s="15"/>
      <c r="BA111" s="15"/>
      <c r="BC111" s="15"/>
      <c r="BF111" s="15"/>
      <c r="BG111" s="15"/>
    </row>
    <row r="112" spans="1:59" ht="14.25" customHeight="1" x14ac:dyDescent="0.3">
      <c r="A112" s="15"/>
      <c r="B112" s="15"/>
      <c r="C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N112" s="15"/>
      <c r="AO112" s="15"/>
      <c r="AP112" s="15"/>
      <c r="AQ112" s="15"/>
      <c r="AS112" s="15"/>
      <c r="AT112" s="15"/>
      <c r="AU112" s="15"/>
      <c r="AV112" s="15"/>
      <c r="AX112" s="15"/>
      <c r="AY112" s="15"/>
      <c r="AZ112" s="15"/>
      <c r="BA112" s="15"/>
      <c r="BC112" s="15"/>
      <c r="BF112" s="15"/>
      <c r="BG112" s="15"/>
    </row>
    <row r="113" spans="1:59" ht="14.25" customHeight="1" x14ac:dyDescent="0.3">
      <c r="A113" s="15"/>
      <c r="B113" s="15"/>
      <c r="C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N113" s="15"/>
      <c r="AO113" s="15"/>
      <c r="AP113" s="15"/>
      <c r="AQ113" s="15"/>
      <c r="AS113" s="15"/>
      <c r="AT113" s="15"/>
      <c r="AU113" s="15"/>
      <c r="AV113" s="15"/>
      <c r="AX113" s="15"/>
      <c r="AY113" s="15"/>
      <c r="AZ113" s="15"/>
      <c r="BA113" s="15"/>
      <c r="BC113" s="15"/>
      <c r="BF113" s="15"/>
      <c r="BG113" s="15"/>
    </row>
    <row r="114" spans="1:59" ht="14.25" customHeight="1" x14ac:dyDescent="0.3">
      <c r="A114" s="15"/>
      <c r="B114" s="15"/>
      <c r="C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N114" s="15"/>
      <c r="AO114" s="15"/>
      <c r="AP114" s="15"/>
      <c r="AQ114" s="15"/>
      <c r="AS114" s="15"/>
      <c r="AT114" s="15"/>
      <c r="AU114" s="15"/>
      <c r="AV114" s="15"/>
      <c r="AX114" s="15"/>
      <c r="AY114" s="15"/>
      <c r="AZ114" s="15"/>
      <c r="BA114" s="15"/>
      <c r="BC114" s="15"/>
      <c r="BF114" s="15"/>
      <c r="BG114" s="15"/>
    </row>
    <row r="115" spans="1:59" ht="14.25" customHeight="1" x14ac:dyDescent="0.3">
      <c r="A115" s="15"/>
      <c r="B115" s="15"/>
      <c r="C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N115" s="15"/>
      <c r="AO115" s="15"/>
      <c r="AP115" s="15"/>
      <c r="AQ115" s="15"/>
      <c r="AS115" s="15"/>
      <c r="AT115" s="15"/>
      <c r="AU115" s="15"/>
      <c r="AV115" s="15"/>
      <c r="AX115" s="15"/>
      <c r="AY115" s="15"/>
      <c r="AZ115" s="15"/>
      <c r="BA115" s="15"/>
      <c r="BC115" s="15"/>
      <c r="BF115" s="15"/>
      <c r="BG115" s="15"/>
    </row>
    <row r="116" spans="1:59" ht="14.25" customHeight="1" x14ac:dyDescent="0.3">
      <c r="A116" s="15"/>
      <c r="B116" s="15"/>
      <c r="C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N116" s="15"/>
      <c r="AO116" s="15"/>
      <c r="AP116" s="15"/>
      <c r="AQ116" s="15"/>
      <c r="AS116" s="15"/>
      <c r="AT116" s="15"/>
      <c r="AU116" s="15"/>
      <c r="AV116" s="15"/>
      <c r="AX116" s="15"/>
      <c r="AY116" s="15"/>
      <c r="AZ116" s="15"/>
      <c r="BA116" s="15"/>
      <c r="BC116" s="15"/>
      <c r="BF116" s="15"/>
      <c r="BG116" s="15"/>
    </row>
    <row r="117" spans="1:59" ht="14.25" customHeight="1" x14ac:dyDescent="0.3">
      <c r="A117" s="15"/>
      <c r="B117" s="15"/>
      <c r="C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N117" s="15"/>
      <c r="AO117" s="15"/>
      <c r="AP117" s="15"/>
      <c r="AQ117" s="15"/>
      <c r="AS117" s="15"/>
      <c r="AT117" s="15"/>
      <c r="AU117" s="15"/>
      <c r="AV117" s="15"/>
      <c r="AX117" s="15"/>
      <c r="AY117" s="15"/>
      <c r="AZ117" s="15"/>
      <c r="BA117" s="15"/>
      <c r="BC117" s="15"/>
      <c r="BF117" s="15"/>
      <c r="BG117" s="15"/>
    </row>
    <row r="118" spans="1:59" ht="14.25" customHeight="1" x14ac:dyDescent="0.3">
      <c r="A118" s="15"/>
      <c r="B118" s="15"/>
      <c r="C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N118" s="15"/>
      <c r="AO118" s="15"/>
      <c r="AP118" s="15"/>
      <c r="AQ118" s="15"/>
      <c r="AS118" s="15"/>
      <c r="AT118" s="15"/>
      <c r="AU118" s="15"/>
      <c r="AV118" s="15"/>
      <c r="AX118" s="15"/>
      <c r="AY118" s="15"/>
      <c r="AZ118" s="15"/>
      <c r="BA118" s="15"/>
      <c r="BC118" s="15"/>
      <c r="BF118" s="15"/>
      <c r="BG118" s="15"/>
    </row>
    <row r="119" spans="1:59" ht="14.25" customHeight="1" x14ac:dyDescent="0.3">
      <c r="A119" s="15"/>
      <c r="B119" s="15"/>
      <c r="C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N119" s="15"/>
      <c r="AO119" s="15"/>
      <c r="AP119" s="15"/>
      <c r="AQ119" s="15"/>
      <c r="AS119" s="15"/>
      <c r="AT119" s="15"/>
      <c r="AU119" s="15"/>
      <c r="AV119" s="15"/>
      <c r="AX119" s="15"/>
      <c r="AY119" s="15"/>
      <c r="AZ119" s="15"/>
      <c r="BA119" s="15"/>
      <c r="BC119" s="15"/>
      <c r="BF119" s="15"/>
      <c r="BG119" s="15"/>
    </row>
    <row r="120" spans="1:59" ht="14.25" customHeight="1" x14ac:dyDescent="0.3">
      <c r="A120" s="15"/>
      <c r="B120" s="15"/>
      <c r="C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N120" s="15"/>
      <c r="AO120" s="15"/>
      <c r="AP120" s="15"/>
      <c r="AQ120" s="15"/>
      <c r="AS120" s="15"/>
      <c r="AT120" s="15"/>
      <c r="AU120" s="15"/>
      <c r="AV120" s="15"/>
      <c r="AX120" s="15"/>
      <c r="AY120" s="15"/>
      <c r="AZ120" s="15"/>
      <c r="BA120" s="15"/>
      <c r="BC120" s="15"/>
      <c r="BF120" s="15"/>
      <c r="BG120" s="15"/>
    </row>
    <row r="121" spans="1:59" ht="14.25" customHeight="1" x14ac:dyDescent="0.3">
      <c r="A121" s="15"/>
      <c r="B121" s="15"/>
      <c r="C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N121" s="15"/>
      <c r="AO121" s="15"/>
      <c r="AP121" s="15"/>
      <c r="AQ121" s="15"/>
      <c r="AS121" s="15"/>
      <c r="AT121" s="15"/>
      <c r="AU121" s="15"/>
      <c r="AV121" s="15"/>
      <c r="AX121" s="15"/>
      <c r="AY121" s="15"/>
      <c r="AZ121" s="15"/>
      <c r="BA121" s="15"/>
      <c r="BC121" s="15"/>
      <c r="BF121" s="15"/>
      <c r="BG121" s="15"/>
    </row>
    <row r="122" spans="1:59" ht="14.25" customHeight="1" x14ac:dyDescent="0.3">
      <c r="A122" s="15"/>
      <c r="B122" s="15"/>
      <c r="C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N122" s="15"/>
      <c r="AO122" s="15"/>
      <c r="AP122" s="15"/>
      <c r="AQ122" s="15"/>
      <c r="AS122" s="15"/>
      <c r="AT122" s="15"/>
      <c r="AU122" s="15"/>
      <c r="AV122" s="15"/>
      <c r="AX122" s="15"/>
      <c r="AY122" s="15"/>
      <c r="AZ122" s="15"/>
      <c r="BA122" s="15"/>
      <c r="BC122" s="15"/>
      <c r="BF122" s="15"/>
      <c r="BG122" s="15"/>
    </row>
    <row r="123" spans="1:59" ht="14.25" customHeight="1" x14ac:dyDescent="0.3">
      <c r="A123" s="15"/>
      <c r="B123" s="15"/>
      <c r="C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N123" s="15"/>
      <c r="AO123" s="15"/>
      <c r="AP123" s="15"/>
      <c r="AQ123" s="15"/>
      <c r="AS123" s="15"/>
      <c r="AT123" s="15"/>
      <c r="AU123" s="15"/>
      <c r="AV123" s="15"/>
      <c r="AX123" s="15"/>
      <c r="AY123" s="15"/>
      <c r="AZ123" s="15"/>
      <c r="BA123" s="15"/>
      <c r="BC123" s="15"/>
      <c r="BF123" s="15"/>
      <c r="BG123" s="15"/>
    </row>
    <row r="124" spans="1:59" ht="14.25" customHeight="1" x14ac:dyDescent="0.3">
      <c r="A124" s="15"/>
      <c r="B124" s="15"/>
      <c r="C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N124" s="15"/>
      <c r="AO124" s="15"/>
      <c r="AP124" s="15"/>
      <c r="AQ124" s="15"/>
      <c r="AS124" s="15"/>
      <c r="AT124" s="15"/>
      <c r="AU124" s="15"/>
      <c r="AV124" s="15"/>
      <c r="AX124" s="15"/>
      <c r="AY124" s="15"/>
      <c r="AZ124" s="15"/>
      <c r="BA124" s="15"/>
      <c r="BC124" s="15"/>
      <c r="BF124" s="15"/>
      <c r="BG124" s="15"/>
    </row>
    <row r="125" spans="1:59" ht="14.25" customHeight="1" x14ac:dyDescent="0.3">
      <c r="A125" s="15"/>
      <c r="B125" s="15"/>
      <c r="C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N125" s="15"/>
      <c r="AO125" s="15"/>
      <c r="AP125" s="15"/>
      <c r="AQ125" s="15"/>
      <c r="AS125" s="15"/>
      <c r="AT125" s="15"/>
      <c r="AU125" s="15"/>
      <c r="AV125" s="15"/>
      <c r="AX125" s="15"/>
      <c r="AY125" s="15"/>
      <c r="AZ125" s="15"/>
      <c r="BA125" s="15"/>
      <c r="BC125" s="15"/>
      <c r="BF125" s="15"/>
      <c r="BG125" s="15"/>
    </row>
    <row r="126" spans="1:59" ht="14.25" customHeight="1" x14ac:dyDescent="0.3">
      <c r="A126" s="15"/>
      <c r="B126" s="15"/>
      <c r="C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N126" s="15"/>
      <c r="AO126" s="15"/>
      <c r="AP126" s="15"/>
      <c r="AQ126" s="15"/>
      <c r="AS126" s="15"/>
      <c r="AT126" s="15"/>
      <c r="AU126" s="15"/>
      <c r="AV126" s="15"/>
      <c r="AX126" s="15"/>
      <c r="AY126" s="15"/>
      <c r="AZ126" s="15"/>
      <c r="BA126" s="15"/>
      <c r="BC126" s="15"/>
      <c r="BF126" s="15"/>
      <c r="BG126" s="15"/>
    </row>
    <row r="127" spans="1:59" ht="14.25" customHeight="1" x14ac:dyDescent="0.3">
      <c r="A127" s="15"/>
      <c r="B127" s="15"/>
      <c r="C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N127" s="15"/>
      <c r="AO127" s="15"/>
      <c r="AP127" s="15"/>
      <c r="AQ127" s="15"/>
      <c r="AS127" s="15"/>
      <c r="AT127" s="15"/>
      <c r="AU127" s="15"/>
      <c r="AV127" s="15"/>
      <c r="AX127" s="15"/>
      <c r="AY127" s="15"/>
      <c r="AZ127" s="15"/>
      <c r="BA127" s="15"/>
      <c r="BC127" s="15"/>
      <c r="BF127" s="15"/>
      <c r="BG127" s="15"/>
    </row>
    <row r="128" spans="1:59" ht="14.25" customHeight="1" x14ac:dyDescent="0.3">
      <c r="A128" s="15"/>
      <c r="B128" s="15"/>
      <c r="C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N128" s="15"/>
      <c r="AO128" s="15"/>
      <c r="AP128" s="15"/>
      <c r="AQ128" s="15"/>
      <c r="AS128" s="15"/>
      <c r="AT128" s="15"/>
      <c r="AU128" s="15"/>
      <c r="AV128" s="15"/>
      <c r="AX128" s="15"/>
      <c r="AY128" s="15"/>
      <c r="AZ128" s="15"/>
      <c r="BA128" s="15"/>
      <c r="BC128" s="15"/>
      <c r="BF128" s="15"/>
      <c r="BG128" s="15"/>
    </row>
    <row r="129" spans="1:59" ht="14.25" customHeight="1" x14ac:dyDescent="0.3">
      <c r="A129" s="15"/>
      <c r="B129" s="15"/>
      <c r="C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N129" s="15"/>
      <c r="AO129" s="15"/>
      <c r="AP129" s="15"/>
      <c r="AQ129" s="15"/>
      <c r="AS129" s="15"/>
      <c r="AT129" s="15"/>
      <c r="AU129" s="15"/>
      <c r="AV129" s="15"/>
      <c r="AX129" s="15"/>
      <c r="AY129" s="15"/>
      <c r="AZ129" s="15"/>
      <c r="BA129" s="15"/>
      <c r="BC129" s="15"/>
      <c r="BF129" s="15"/>
      <c r="BG129" s="15"/>
    </row>
    <row r="130" spans="1:59" ht="14.25" customHeight="1" x14ac:dyDescent="0.3">
      <c r="A130" s="15"/>
      <c r="B130" s="15"/>
      <c r="C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N130" s="15"/>
      <c r="AO130" s="15"/>
      <c r="AP130" s="15"/>
      <c r="AQ130" s="15"/>
      <c r="AS130" s="15"/>
      <c r="AT130" s="15"/>
      <c r="AU130" s="15"/>
      <c r="AV130" s="15"/>
      <c r="AX130" s="15"/>
      <c r="AY130" s="15"/>
      <c r="AZ130" s="15"/>
      <c r="BA130" s="15"/>
      <c r="BC130" s="15"/>
      <c r="BF130" s="15"/>
      <c r="BG130" s="15"/>
    </row>
    <row r="131" spans="1:59" ht="14.25" customHeight="1" x14ac:dyDescent="0.3">
      <c r="A131" s="15"/>
      <c r="B131" s="15"/>
      <c r="C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N131" s="15"/>
      <c r="AO131" s="15"/>
      <c r="AP131" s="15"/>
      <c r="AQ131" s="15"/>
      <c r="AS131" s="15"/>
      <c r="AT131" s="15"/>
      <c r="AU131" s="15"/>
      <c r="AV131" s="15"/>
      <c r="AX131" s="15"/>
      <c r="AY131" s="15"/>
      <c r="AZ131" s="15"/>
      <c r="BA131" s="15"/>
      <c r="BC131" s="15"/>
      <c r="BF131" s="15"/>
      <c r="BG131" s="15"/>
    </row>
    <row r="132" spans="1:59" ht="14.25" customHeight="1" x14ac:dyDescent="0.3">
      <c r="A132" s="15"/>
      <c r="B132" s="15"/>
      <c r="C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N132" s="15"/>
      <c r="AO132" s="15"/>
      <c r="AP132" s="15"/>
      <c r="AQ132" s="15"/>
      <c r="AS132" s="15"/>
      <c r="AT132" s="15"/>
      <c r="AU132" s="15"/>
      <c r="AV132" s="15"/>
      <c r="AX132" s="15"/>
      <c r="AY132" s="15"/>
      <c r="AZ132" s="15"/>
      <c r="BA132" s="15"/>
      <c r="BC132" s="15"/>
      <c r="BF132" s="15"/>
      <c r="BG132" s="15"/>
    </row>
    <row r="133" spans="1:59" ht="14.25" customHeight="1" x14ac:dyDescent="0.3">
      <c r="A133" s="15"/>
      <c r="B133" s="15"/>
      <c r="C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N133" s="15"/>
      <c r="AO133" s="15"/>
      <c r="AP133" s="15"/>
      <c r="AQ133" s="15"/>
      <c r="AS133" s="15"/>
      <c r="AT133" s="15"/>
      <c r="AU133" s="15"/>
      <c r="AV133" s="15"/>
      <c r="AX133" s="15"/>
      <c r="AY133" s="15"/>
      <c r="AZ133" s="15"/>
      <c r="BA133" s="15"/>
      <c r="BC133" s="15"/>
      <c r="BF133" s="15"/>
      <c r="BG133" s="15"/>
    </row>
    <row r="134" spans="1:59" ht="14.25" customHeight="1" x14ac:dyDescent="0.3">
      <c r="A134" s="15"/>
      <c r="B134" s="15"/>
      <c r="C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N134" s="15"/>
      <c r="AO134" s="15"/>
      <c r="AP134" s="15"/>
      <c r="AQ134" s="15"/>
      <c r="AS134" s="15"/>
      <c r="AT134" s="15"/>
      <c r="AU134" s="15"/>
      <c r="AV134" s="15"/>
      <c r="AX134" s="15"/>
      <c r="AY134" s="15"/>
      <c r="AZ134" s="15"/>
      <c r="BA134" s="15"/>
      <c r="BC134" s="15"/>
      <c r="BF134" s="15"/>
      <c r="BG134" s="15"/>
    </row>
    <row r="135" spans="1:59" ht="14.25" customHeight="1" x14ac:dyDescent="0.3">
      <c r="A135" s="15"/>
      <c r="B135" s="15"/>
      <c r="C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N135" s="15"/>
      <c r="AO135" s="15"/>
      <c r="AP135" s="15"/>
      <c r="AQ135" s="15"/>
      <c r="AS135" s="15"/>
      <c r="AT135" s="15"/>
      <c r="AU135" s="15"/>
      <c r="AV135" s="15"/>
      <c r="AX135" s="15"/>
      <c r="AY135" s="15"/>
      <c r="AZ135" s="15"/>
      <c r="BA135" s="15"/>
      <c r="BC135" s="15"/>
      <c r="BF135" s="15"/>
      <c r="BG135" s="15"/>
    </row>
    <row r="136" spans="1:59" ht="14.25" customHeight="1" x14ac:dyDescent="0.3">
      <c r="A136" s="15"/>
      <c r="B136" s="15"/>
      <c r="C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N136" s="15"/>
      <c r="AO136" s="15"/>
      <c r="AP136" s="15"/>
      <c r="AQ136" s="15"/>
      <c r="AS136" s="15"/>
      <c r="AT136" s="15"/>
      <c r="AU136" s="15"/>
      <c r="AV136" s="15"/>
      <c r="AX136" s="15"/>
      <c r="AY136" s="15"/>
      <c r="AZ136" s="15"/>
      <c r="BA136" s="15"/>
      <c r="BC136" s="15"/>
      <c r="BF136" s="15"/>
      <c r="BG136" s="15"/>
    </row>
    <row r="137" spans="1:59" ht="14.25" customHeight="1" x14ac:dyDescent="0.3">
      <c r="A137" s="15"/>
      <c r="B137" s="15"/>
      <c r="C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N137" s="15"/>
      <c r="AO137" s="15"/>
      <c r="AP137" s="15"/>
      <c r="AQ137" s="15"/>
      <c r="AS137" s="15"/>
      <c r="AT137" s="15"/>
      <c r="AU137" s="15"/>
      <c r="AV137" s="15"/>
      <c r="AX137" s="15"/>
      <c r="AY137" s="15"/>
      <c r="AZ137" s="15"/>
      <c r="BA137" s="15"/>
      <c r="BC137" s="15"/>
      <c r="BF137" s="15"/>
      <c r="BG137" s="15"/>
    </row>
    <row r="138" spans="1:59" ht="14.25" customHeight="1" x14ac:dyDescent="0.3">
      <c r="A138" s="15"/>
      <c r="B138" s="15"/>
      <c r="C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N138" s="15"/>
      <c r="AO138" s="15"/>
      <c r="AP138" s="15"/>
      <c r="AQ138" s="15"/>
      <c r="AS138" s="15"/>
      <c r="AT138" s="15"/>
      <c r="AU138" s="15"/>
      <c r="AV138" s="15"/>
      <c r="AX138" s="15"/>
      <c r="AY138" s="15"/>
      <c r="AZ138" s="15"/>
      <c r="BA138" s="15"/>
      <c r="BC138" s="15"/>
      <c r="BF138" s="15"/>
      <c r="BG138" s="15"/>
    </row>
    <row r="139" spans="1:59" ht="14.25" customHeight="1" x14ac:dyDescent="0.3">
      <c r="A139" s="15"/>
      <c r="B139" s="15"/>
      <c r="C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N139" s="15"/>
      <c r="AO139" s="15"/>
      <c r="AP139" s="15"/>
      <c r="AQ139" s="15"/>
      <c r="AS139" s="15"/>
      <c r="AT139" s="15"/>
      <c r="AU139" s="15"/>
      <c r="AV139" s="15"/>
      <c r="AX139" s="15"/>
      <c r="AY139" s="15"/>
      <c r="AZ139" s="15"/>
      <c r="BA139" s="15"/>
      <c r="BC139" s="15"/>
      <c r="BF139" s="15"/>
      <c r="BG139" s="15"/>
    </row>
    <row r="140" spans="1:59" ht="14.25" customHeight="1" x14ac:dyDescent="0.3">
      <c r="A140" s="15"/>
      <c r="B140" s="15"/>
      <c r="C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N140" s="15"/>
      <c r="AO140" s="15"/>
      <c r="AP140" s="15"/>
      <c r="AQ140" s="15"/>
      <c r="AS140" s="15"/>
      <c r="AT140" s="15"/>
      <c r="AU140" s="15"/>
      <c r="AV140" s="15"/>
      <c r="AX140" s="15"/>
      <c r="AY140" s="15"/>
      <c r="AZ140" s="15"/>
      <c r="BA140" s="15"/>
      <c r="BC140" s="15"/>
      <c r="BF140" s="15"/>
      <c r="BG140" s="15"/>
    </row>
    <row r="141" spans="1:59" ht="14.25" customHeight="1" x14ac:dyDescent="0.3">
      <c r="A141" s="15"/>
      <c r="B141" s="15"/>
      <c r="C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N141" s="15"/>
      <c r="AO141" s="15"/>
      <c r="AP141" s="15"/>
      <c r="AQ141" s="15"/>
      <c r="AS141" s="15"/>
      <c r="AT141" s="15"/>
      <c r="AU141" s="15"/>
      <c r="AV141" s="15"/>
      <c r="AX141" s="15"/>
      <c r="AY141" s="15"/>
      <c r="AZ141" s="15"/>
      <c r="BA141" s="15"/>
      <c r="BC141" s="15"/>
      <c r="BF141" s="15"/>
      <c r="BG141" s="15"/>
    </row>
    <row r="142" spans="1:59" ht="14.25" customHeight="1" x14ac:dyDescent="0.3">
      <c r="A142" s="15"/>
      <c r="B142" s="15"/>
      <c r="C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N142" s="15"/>
      <c r="AO142" s="15"/>
      <c r="AP142" s="15"/>
      <c r="AQ142" s="15"/>
      <c r="AS142" s="15"/>
      <c r="AT142" s="15"/>
      <c r="AU142" s="15"/>
      <c r="AV142" s="15"/>
      <c r="AX142" s="15"/>
      <c r="AY142" s="15"/>
      <c r="AZ142" s="15"/>
      <c r="BA142" s="15"/>
      <c r="BC142" s="15"/>
      <c r="BF142" s="15"/>
      <c r="BG142" s="15"/>
    </row>
    <row r="143" spans="1:59" ht="14.25" customHeight="1" x14ac:dyDescent="0.3">
      <c r="A143" s="15"/>
      <c r="B143" s="15"/>
      <c r="C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N143" s="15"/>
      <c r="AO143" s="15"/>
      <c r="AP143" s="15"/>
      <c r="AQ143" s="15"/>
      <c r="AS143" s="15"/>
      <c r="AT143" s="15"/>
      <c r="AU143" s="15"/>
      <c r="AV143" s="15"/>
      <c r="AX143" s="15"/>
      <c r="AY143" s="15"/>
      <c r="AZ143" s="15"/>
      <c r="BA143" s="15"/>
      <c r="BC143" s="15"/>
      <c r="BF143" s="15"/>
      <c r="BG143" s="15"/>
    </row>
    <row r="144" spans="1:59" ht="14.25" customHeight="1" x14ac:dyDescent="0.3">
      <c r="A144" s="15"/>
      <c r="B144" s="15"/>
      <c r="C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N144" s="15"/>
      <c r="AO144" s="15"/>
      <c r="AP144" s="15"/>
      <c r="AQ144" s="15"/>
      <c r="AS144" s="15"/>
      <c r="AT144" s="15"/>
      <c r="AU144" s="15"/>
      <c r="AV144" s="15"/>
      <c r="AX144" s="15"/>
      <c r="AY144" s="15"/>
      <c r="AZ144" s="15"/>
      <c r="BA144" s="15"/>
      <c r="BC144" s="15"/>
      <c r="BF144" s="15"/>
      <c r="BG144" s="15"/>
    </row>
    <row r="145" spans="1:59" ht="14.25" customHeight="1" x14ac:dyDescent="0.3">
      <c r="A145" s="15"/>
      <c r="B145" s="15"/>
      <c r="C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N145" s="15"/>
      <c r="AO145" s="15"/>
      <c r="AP145" s="15"/>
      <c r="AQ145" s="15"/>
      <c r="AS145" s="15"/>
      <c r="AT145" s="15"/>
      <c r="AU145" s="15"/>
      <c r="AV145" s="15"/>
      <c r="AX145" s="15"/>
      <c r="AY145" s="15"/>
      <c r="AZ145" s="15"/>
      <c r="BA145" s="15"/>
      <c r="BC145" s="15"/>
      <c r="BF145" s="15"/>
      <c r="BG145" s="15"/>
    </row>
    <row r="146" spans="1:59" ht="14.25" customHeight="1" x14ac:dyDescent="0.3">
      <c r="A146" s="15"/>
      <c r="B146" s="15"/>
      <c r="C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N146" s="15"/>
      <c r="AO146" s="15"/>
      <c r="AP146" s="15"/>
      <c r="AQ146" s="15"/>
      <c r="AS146" s="15"/>
      <c r="AT146" s="15"/>
      <c r="AU146" s="15"/>
      <c r="AV146" s="15"/>
      <c r="AX146" s="15"/>
      <c r="AY146" s="15"/>
      <c r="AZ146" s="15"/>
      <c r="BA146" s="15"/>
      <c r="BC146" s="15"/>
      <c r="BF146" s="15"/>
      <c r="BG146" s="15"/>
    </row>
    <row r="147" spans="1:59" ht="14.25" customHeight="1" x14ac:dyDescent="0.3">
      <c r="A147" s="15"/>
      <c r="B147" s="15"/>
      <c r="C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N147" s="15"/>
      <c r="AO147" s="15"/>
      <c r="AP147" s="15"/>
      <c r="AQ147" s="15"/>
      <c r="AS147" s="15"/>
      <c r="AT147" s="15"/>
      <c r="AU147" s="15"/>
      <c r="AV147" s="15"/>
      <c r="AX147" s="15"/>
      <c r="AY147" s="15"/>
      <c r="AZ147" s="15"/>
      <c r="BA147" s="15"/>
      <c r="BC147" s="15"/>
      <c r="BF147" s="15"/>
      <c r="BG147" s="15"/>
    </row>
    <row r="148" spans="1:59" ht="14.25" customHeight="1" x14ac:dyDescent="0.3">
      <c r="A148" s="15"/>
      <c r="B148" s="15"/>
      <c r="C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N148" s="15"/>
      <c r="AO148" s="15"/>
      <c r="AP148" s="15"/>
      <c r="AQ148" s="15"/>
      <c r="AS148" s="15"/>
      <c r="AT148" s="15"/>
      <c r="AU148" s="15"/>
      <c r="AV148" s="15"/>
      <c r="AX148" s="15"/>
      <c r="AY148" s="15"/>
      <c r="AZ148" s="15"/>
      <c r="BA148" s="15"/>
      <c r="BC148" s="15"/>
      <c r="BF148" s="15"/>
      <c r="BG148" s="15"/>
    </row>
    <row r="149" spans="1:59" ht="14.25" customHeight="1" x14ac:dyDescent="0.3">
      <c r="A149" s="15"/>
      <c r="B149" s="15"/>
      <c r="C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N149" s="15"/>
      <c r="AO149" s="15"/>
      <c r="AP149" s="15"/>
      <c r="AQ149" s="15"/>
      <c r="AS149" s="15"/>
      <c r="AT149" s="15"/>
      <c r="AU149" s="15"/>
      <c r="AV149" s="15"/>
      <c r="AX149" s="15"/>
      <c r="AY149" s="15"/>
      <c r="AZ149" s="15"/>
      <c r="BA149" s="15"/>
      <c r="BC149" s="15"/>
      <c r="BF149" s="15"/>
      <c r="BG149" s="15"/>
    </row>
    <row r="150" spans="1:59" ht="14.25" customHeight="1" x14ac:dyDescent="0.3">
      <c r="A150" s="15"/>
      <c r="B150" s="15"/>
      <c r="C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N150" s="15"/>
      <c r="AO150" s="15"/>
      <c r="AP150" s="15"/>
      <c r="AQ150" s="15"/>
      <c r="AS150" s="15"/>
      <c r="AT150" s="15"/>
      <c r="AU150" s="15"/>
      <c r="AV150" s="15"/>
      <c r="AX150" s="15"/>
      <c r="AY150" s="15"/>
      <c r="AZ150" s="15"/>
      <c r="BA150" s="15"/>
      <c r="BC150" s="15"/>
      <c r="BF150" s="15"/>
      <c r="BG150" s="15"/>
    </row>
    <row r="151" spans="1:59" ht="14.25" customHeight="1" x14ac:dyDescent="0.3">
      <c r="A151" s="15"/>
      <c r="B151" s="15"/>
      <c r="C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N151" s="15"/>
      <c r="AO151" s="15"/>
      <c r="AP151" s="15"/>
      <c r="AQ151" s="15"/>
      <c r="AS151" s="15"/>
      <c r="AT151" s="15"/>
      <c r="AU151" s="15"/>
      <c r="AV151" s="15"/>
      <c r="AX151" s="15"/>
      <c r="AY151" s="15"/>
      <c r="AZ151" s="15"/>
      <c r="BA151" s="15"/>
      <c r="BC151" s="15"/>
      <c r="BF151" s="15"/>
      <c r="BG151" s="15"/>
    </row>
    <row r="152" spans="1:59" ht="14.25" customHeight="1" x14ac:dyDescent="0.3">
      <c r="A152" s="15"/>
      <c r="B152" s="15"/>
      <c r="C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N152" s="15"/>
      <c r="AO152" s="15"/>
      <c r="AP152" s="15"/>
      <c r="AQ152" s="15"/>
      <c r="AS152" s="15"/>
      <c r="AT152" s="15"/>
      <c r="AU152" s="15"/>
      <c r="AV152" s="15"/>
      <c r="AX152" s="15"/>
      <c r="AY152" s="15"/>
      <c r="AZ152" s="15"/>
      <c r="BA152" s="15"/>
      <c r="BC152" s="15"/>
      <c r="BF152" s="15"/>
      <c r="BG152" s="15"/>
    </row>
    <row r="153" spans="1:59" ht="14.25" customHeight="1" x14ac:dyDescent="0.3">
      <c r="A153" s="15"/>
      <c r="B153" s="15"/>
      <c r="C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N153" s="15"/>
      <c r="AO153" s="15"/>
      <c r="AP153" s="15"/>
      <c r="AQ153" s="15"/>
      <c r="AS153" s="15"/>
      <c r="AT153" s="15"/>
      <c r="AU153" s="15"/>
      <c r="AV153" s="15"/>
      <c r="AX153" s="15"/>
      <c r="AY153" s="15"/>
      <c r="AZ153" s="15"/>
      <c r="BA153" s="15"/>
      <c r="BC153" s="15"/>
      <c r="BF153" s="15"/>
      <c r="BG153" s="15"/>
    </row>
    <row r="154" spans="1:59" ht="14.25" customHeight="1" x14ac:dyDescent="0.3">
      <c r="A154" s="15"/>
      <c r="B154" s="15"/>
      <c r="C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N154" s="15"/>
      <c r="AO154" s="15"/>
      <c r="AP154" s="15"/>
      <c r="AQ154" s="15"/>
      <c r="AS154" s="15"/>
      <c r="AT154" s="15"/>
      <c r="AU154" s="15"/>
      <c r="AV154" s="15"/>
      <c r="AX154" s="15"/>
      <c r="AY154" s="15"/>
      <c r="AZ154" s="15"/>
      <c r="BA154" s="15"/>
      <c r="BC154" s="15"/>
      <c r="BF154" s="15"/>
      <c r="BG154" s="15"/>
    </row>
    <row r="155" spans="1:59" ht="14.25" customHeight="1" x14ac:dyDescent="0.3">
      <c r="A155" s="15"/>
      <c r="B155" s="15"/>
      <c r="C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N155" s="15"/>
      <c r="AO155" s="15"/>
      <c r="AP155" s="15"/>
      <c r="AQ155" s="15"/>
      <c r="AS155" s="15"/>
      <c r="AT155" s="15"/>
      <c r="AU155" s="15"/>
      <c r="AV155" s="15"/>
      <c r="AX155" s="15"/>
      <c r="AY155" s="15"/>
      <c r="AZ155" s="15"/>
      <c r="BA155" s="15"/>
      <c r="BC155" s="15"/>
      <c r="BF155" s="15"/>
      <c r="BG155" s="15"/>
    </row>
    <row r="156" spans="1:59" ht="14.25" customHeight="1" x14ac:dyDescent="0.3">
      <c r="A156" s="15"/>
      <c r="B156" s="15"/>
      <c r="C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N156" s="15"/>
      <c r="AO156" s="15"/>
      <c r="AP156" s="15"/>
      <c r="AQ156" s="15"/>
      <c r="AS156" s="15"/>
      <c r="AT156" s="15"/>
      <c r="AU156" s="15"/>
      <c r="AV156" s="15"/>
      <c r="AX156" s="15"/>
      <c r="AY156" s="15"/>
      <c r="AZ156" s="15"/>
      <c r="BA156" s="15"/>
      <c r="BC156" s="15"/>
      <c r="BF156" s="15"/>
      <c r="BG156" s="15"/>
    </row>
    <row r="157" spans="1:59" ht="14.25" customHeight="1" x14ac:dyDescent="0.3">
      <c r="A157" s="15"/>
      <c r="B157" s="15"/>
      <c r="C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N157" s="15"/>
      <c r="AO157" s="15"/>
      <c r="AP157" s="15"/>
      <c r="AQ157" s="15"/>
      <c r="AS157" s="15"/>
      <c r="AT157" s="15"/>
      <c r="AU157" s="15"/>
      <c r="AV157" s="15"/>
      <c r="AX157" s="15"/>
      <c r="AY157" s="15"/>
      <c r="AZ157" s="15"/>
      <c r="BA157" s="15"/>
      <c r="BC157" s="15"/>
      <c r="BF157" s="15"/>
      <c r="BG157" s="15"/>
    </row>
    <row r="158" spans="1:59" ht="14.25" customHeight="1" x14ac:dyDescent="0.3">
      <c r="A158" s="15"/>
      <c r="B158" s="15"/>
      <c r="C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N158" s="15"/>
      <c r="AO158" s="15"/>
      <c r="AP158" s="15"/>
      <c r="AQ158" s="15"/>
      <c r="AS158" s="15"/>
      <c r="AT158" s="15"/>
      <c r="AU158" s="15"/>
      <c r="AV158" s="15"/>
      <c r="AX158" s="15"/>
      <c r="AY158" s="15"/>
      <c r="AZ158" s="15"/>
      <c r="BA158" s="15"/>
      <c r="BC158" s="15"/>
      <c r="BF158" s="15"/>
      <c r="BG158" s="15"/>
    </row>
    <row r="159" spans="1:59" ht="14.25" customHeight="1" x14ac:dyDescent="0.3">
      <c r="A159" s="15"/>
      <c r="B159" s="15"/>
      <c r="C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N159" s="15"/>
      <c r="AO159" s="15"/>
      <c r="AP159" s="15"/>
      <c r="AQ159" s="15"/>
      <c r="AS159" s="15"/>
      <c r="AT159" s="15"/>
      <c r="AU159" s="15"/>
      <c r="AV159" s="15"/>
      <c r="AX159" s="15"/>
      <c r="AY159" s="15"/>
      <c r="AZ159" s="15"/>
      <c r="BA159" s="15"/>
      <c r="BC159" s="15"/>
      <c r="BF159" s="15"/>
      <c r="BG159" s="15"/>
    </row>
    <row r="160" spans="1:59" ht="14.25" customHeight="1" x14ac:dyDescent="0.3">
      <c r="A160" s="15"/>
      <c r="B160" s="15"/>
      <c r="C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N160" s="15"/>
      <c r="AO160" s="15"/>
      <c r="AP160" s="15"/>
      <c r="AQ160" s="15"/>
      <c r="AS160" s="15"/>
      <c r="AT160" s="15"/>
      <c r="AU160" s="15"/>
      <c r="AV160" s="15"/>
      <c r="AX160" s="15"/>
      <c r="AY160" s="15"/>
      <c r="AZ160" s="15"/>
      <c r="BA160" s="15"/>
      <c r="BC160" s="15"/>
      <c r="BF160" s="15"/>
      <c r="BG160" s="15"/>
    </row>
    <row r="161" spans="1:59" ht="14.25" customHeight="1" x14ac:dyDescent="0.3">
      <c r="A161" s="15"/>
      <c r="B161" s="15"/>
      <c r="C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N161" s="15"/>
      <c r="AO161" s="15"/>
      <c r="AP161" s="15"/>
      <c r="AQ161" s="15"/>
      <c r="AS161" s="15"/>
      <c r="AT161" s="15"/>
      <c r="AU161" s="15"/>
      <c r="AV161" s="15"/>
      <c r="AX161" s="15"/>
      <c r="AY161" s="15"/>
      <c r="AZ161" s="15"/>
      <c r="BA161" s="15"/>
      <c r="BC161" s="15"/>
      <c r="BF161" s="15"/>
      <c r="BG161" s="15"/>
    </row>
    <row r="162" spans="1:59" ht="14.25" customHeight="1" x14ac:dyDescent="0.3">
      <c r="A162" s="15"/>
      <c r="B162" s="15"/>
      <c r="C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N162" s="15"/>
      <c r="AO162" s="15"/>
      <c r="AP162" s="15"/>
      <c r="AQ162" s="15"/>
      <c r="AS162" s="15"/>
      <c r="AT162" s="15"/>
      <c r="AU162" s="15"/>
      <c r="AV162" s="15"/>
      <c r="AX162" s="15"/>
      <c r="AY162" s="15"/>
      <c r="AZ162" s="15"/>
      <c r="BA162" s="15"/>
      <c r="BC162" s="15"/>
      <c r="BF162" s="15"/>
      <c r="BG162" s="15"/>
    </row>
    <row r="163" spans="1:59" ht="14.25" customHeight="1" x14ac:dyDescent="0.3">
      <c r="A163" s="15"/>
      <c r="B163" s="15"/>
      <c r="C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N163" s="15"/>
      <c r="AO163" s="15"/>
      <c r="AP163" s="15"/>
      <c r="AQ163" s="15"/>
      <c r="AS163" s="15"/>
      <c r="AT163" s="15"/>
      <c r="AU163" s="15"/>
      <c r="AV163" s="15"/>
      <c r="AX163" s="15"/>
      <c r="AY163" s="15"/>
      <c r="AZ163" s="15"/>
      <c r="BA163" s="15"/>
      <c r="BC163" s="15"/>
      <c r="BF163" s="15"/>
      <c r="BG163" s="15"/>
    </row>
    <row r="164" spans="1:59" ht="14.25" customHeight="1" x14ac:dyDescent="0.3">
      <c r="A164" s="15"/>
      <c r="B164" s="15"/>
      <c r="C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N164" s="15"/>
      <c r="AO164" s="15"/>
      <c r="AP164" s="15"/>
      <c r="AQ164" s="15"/>
      <c r="AS164" s="15"/>
      <c r="AT164" s="15"/>
      <c r="AU164" s="15"/>
      <c r="AV164" s="15"/>
      <c r="AX164" s="15"/>
      <c r="AY164" s="15"/>
      <c r="AZ164" s="15"/>
      <c r="BA164" s="15"/>
      <c r="BC164" s="15"/>
      <c r="BF164" s="15"/>
      <c r="BG164" s="15"/>
    </row>
    <row r="165" spans="1:59" ht="14.25" customHeight="1" x14ac:dyDescent="0.3">
      <c r="A165" s="15"/>
      <c r="B165" s="15"/>
      <c r="C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N165" s="15"/>
      <c r="AO165" s="15"/>
      <c r="AP165" s="15"/>
      <c r="AQ165" s="15"/>
      <c r="AS165" s="15"/>
      <c r="AT165" s="15"/>
      <c r="AU165" s="15"/>
      <c r="AV165" s="15"/>
      <c r="AX165" s="15"/>
      <c r="AY165" s="15"/>
      <c r="AZ165" s="15"/>
      <c r="BA165" s="15"/>
      <c r="BC165" s="15"/>
      <c r="BF165" s="15"/>
      <c r="BG165" s="15"/>
    </row>
    <row r="166" spans="1:59" ht="14.25" customHeight="1" x14ac:dyDescent="0.3">
      <c r="A166" s="15"/>
      <c r="B166" s="15"/>
      <c r="C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N166" s="15"/>
      <c r="AO166" s="15"/>
      <c r="AP166" s="15"/>
      <c r="AQ166" s="15"/>
      <c r="AS166" s="15"/>
      <c r="AT166" s="15"/>
      <c r="AU166" s="15"/>
      <c r="AV166" s="15"/>
      <c r="AX166" s="15"/>
      <c r="AY166" s="15"/>
      <c r="AZ166" s="15"/>
      <c r="BA166" s="15"/>
      <c r="BC166" s="15"/>
      <c r="BF166" s="15"/>
      <c r="BG166" s="15"/>
    </row>
    <row r="167" spans="1:59" ht="14.25" customHeight="1" x14ac:dyDescent="0.3">
      <c r="A167" s="15"/>
      <c r="B167" s="15"/>
      <c r="C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N167" s="15"/>
      <c r="AO167" s="15"/>
      <c r="AP167" s="15"/>
      <c r="AQ167" s="15"/>
      <c r="AS167" s="15"/>
      <c r="AT167" s="15"/>
      <c r="AU167" s="15"/>
      <c r="AV167" s="15"/>
      <c r="AX167" s="15"/>
      <c r="AY167" s="15"/>
      <c r="AZ167" s="15"/>
      <c r="BA167" s="15"/>
      <c r="BC167" s="15"/>
      <c r="BF167" s="15"/>
      <c r="BG167" s="15"/>
    </row>
    <row r="168" spans="1:59" ht="14.25" customHeight="1" x14ac:dyDescent="0.3">
      <c r="A168" s="15"/>
      <c r="B168" s="15"/>
      <c r="C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N168" s="15"/>
      <c r="AO168" s="15"/>
      <c r="AP168" s="15"/>
      <c r="AQ168" s="15"/>
      <c r="AS168" s="15"/>
      <c r="AT168" s="15"/>
      <c r="AU168" s="15"/>
      <c r="AV168" s="15"/>
      <c r="AX168" s="15"/>
      <c r="AY168" s="15"/>
      <c r="AZ168" s="15"/>
      <c r="BA168" s="15"/>
      <c r="BC168" s="15"/>
      <c r="BF168" s="15"/>
      <c r="BG168" s="15"/>
    </row>
    <row r="169" spans="1:59" ht="14.25" customHeight="1" x14ac:dyDescent="0.3">
      <c r="A169" s="15"/>
      <c r="B169" s="15"/>
      <c r="C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N169" s="15"/>
      <c r="AO169" s="15"/>
      <c r="AP169" s="15"/>
      <c r="AQ169" s="15"/>
      <c r="AS169" s="15"/>
      <c r="AT169" s="15"/>
      <c r="AU169" s="15"/>
      <c r="AV169" s="15"/>
      <c r="AX169" s="15"/>
      <c r="AY169" s="15"/>
      <c r="AZ169" s="15"/>
      <c r="BA169" s="15"/>
      <c r="BC169" s="15"/>
      <c r="BF169" s="15"/>
      <c r="BG169" s="15"/>
    </row>
    <row r="170" spans="1:59" ht="14.25" customHeight="1" x14ac:dyDescent="0.3">
      <c r="A170" s="15"/>
      <c r="B170" s="15"/>
      <c r="C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N170" s="15"/>
      <c r="AO170" s="15"/>
      <c r="AP170" s="15"/>
      <c r="AQ170" s="15"/>
      <c r="AS170" s="15"/>
      <c r="AT170" s="15"/>
      <c r="AU170" s="15"/>
      <c r="AV170" s="15"/>
      <c r="AX170" s="15"/>
      <c r="AY170" s="15"/>
      <c r="AZ170" s="15"/>
      <c r="BA170" s="15"/>
      <c r="BC170" s="15"/>
      <c r="BF170" s="15"/>
      <c r="BG170" s="15"/>
    </row>
    <row r="171" spans="1:59" ht="14.25" customHeight="1" x14ac:dyDescent="0.3">
      <c r="A171" s="15"/>
      <c r="B171" s="15"/>
      <c r="C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N171" s="15"/>
      <c r="AO171" s="15"/>
      <c r="AP171" s="15"/>
      <c r="AQ171" s="15"/>
      <c r="AS171" s="15"/>
      <c r="AT171" s="15"/>
      <c r="AU171" s="15"/>
      <c r="AV171" s="15"/>
      <c r="AX171" s="15"/>
      <c r="AY171" s="15"/>
      <c r="AZ171" s="15"/>
      <c r="BA171" s="15"/>
      <c r="BC171" s="15"/>
      <c r="BF171" s="15"/>
      <c r="BG171" s="15"/>
    </row>
    <row r="172" spans="1:59" ht="14.25" customHeight="1" x14ac:dyDescent="0.3">
      <c r="A172" s="15"/>
      <c r="B172" s="15"/>
      <c r="C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N172" s="15"/>
      <c r="AO172" s="15"/>
      <c r="AP172" s="15"/>
      <c r="AQ172" s="15"/>
      <c r="AS172" s="15"/>
      <c r="AT172" s="15"/>
      <c r="AU172" s="15"/>
      <c r="AV172" s="15"/>
      <c r="AX172" s="15"/>
      <c r="AY172" s="15"/>
      <c r="AZ172" s="15"/>
      <c r="BA172" s="15"/>
      <c r="BC172" s="15"/>
      <c r="BF172" s="15"/>
      <c r="BG172" s="15"/>
    </row>
    <row r="173" spans="1:59" ht="14.25" customHeight="1" x14ac:dyDescent="0.3">
      <c r="A173" s="15"/>
      <c r="B173" s="15"/>
      <c r="C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N173" s="15"/>
      <c r="AO173" s="15"/>
      <c r="AP173" s="15"/>
      <c r="AQ173" s="15"/>
      <c r="AS173" s="15"/>
      <c r="AT173" s="15"/>
      <c r="AU173" s="15"/>
      <c r="AV173" s="15"/>
      <c r="AX173" s="15"/>
      <c r="AY173" s="15"/>
      <c r="AZ173" s="15"/>
      <c r="BA173" s="15"/>
      <c r="BC173" s="15"/>
      <c r="BF173" s="15"/>
      <c r="BG173" s="15"/>
    </row>
    <row r="174" spans="1:59" ht="14.25" customHeight="1" x14ac:dyDescent="0.3">
      <c r="A174" s="15"/>
      <c r="B174" s="15"/>
      <c r="C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N174" s="15"/>
      <c r="AO174" s="15"/>
      <c r="AP174" s="15"/>
      <c r="AQ174" s="15"/>
      <c r="AS174" s="15"/>
      <c r="AT174" s="15"/>
      <c r="AU174" s="15"/>
      <c r="AV174" s="15"/>
      <c r="AX174" s="15"/>
      <c r="AY174" s="15"/>
      <c r="AZ174" s="15"/>
      <c r="BA174" s="15"/>
      <c r="BC174" s="15"/>
      <c r="BF174" s="15"/>
      <c r="BG174" s="15"/>
    </row>
    <row r="175" spans="1:59" ht="14.25" customHeight="1" x14ac:dyDescent="0.3">
      <c r="A175" s="15"/>
      <c r="B175" s="15"/>
      <c r="C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N175" s="15"/>
      <c r="AO175" s="15"/>
      <c r="AP175" s="15"/>
      <c r="AQ175" s="15"/>
      <c r="AS175" s="15"/>
      <c r="AT175" s="15"/>
      <c r="AU175" s="15"/>
      <c r="AV175" s="15"/>
      <c r="AX175" s="15"/>
      <c r="AY175" s="15"/>
      <c r="AZ175" s="15"/>
      <c r="BA175" s="15"/>
      <c r="BC175" s="15"/>
      <c r="BF175" s="15"/>
      <c r="BG175" s="15"/>
    </row>
    <row r="176" spans="1:59" ht="14.25" customHeight="1" x14ac:dyDescent="0.3">
      <c r="A176" s="15"/>
      <c r="B176" s="15"/>
      <c r="C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N176" s="15"/>
      <c r="AO176" s="15"/>
      <c r="AP176" s="15"/>
      <c r="AQ176" s="15"/>
      <c r="AS176" s="15"/>
      <c r="AT176" s="15"/>
      <c r="AU176" s="15"/>
      <c r="AV176" s="15"/>
      <c r="AX176" s="15"/>
      <c r="AY176" s="15"/>
      <c r="AZ176" s="15"/>
      <c r="BA176" s="15"/>
      <c r="BC176" s="15"/>
      <c r="BF176" s="15"/>
      <c r="BG176" s="15"/>
    </row>
    <row r="177" spans="1:59" ht="14.25" customHeight="1" x14ac:dyDescent="0.3">
      <c r="A177" s="15"/>
      <c r="B177" s="15"/>
      <c r="C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N177" s="15"/>
      <c r="AO177" s="15"/>
      <c r="AP177" s="15"/>
      <c r="AQ177" s="15"/>
      <c r="AS177" s="15"/>
      <c r="AT177" s="15"/>
      <c r="AU177" s="15"/>
      <c r="AV177" s="15"/>
      <c r="AX177" s="15"/>
      <c r="AY177" s="15"/>
      <c r="AZ177" s="15"/>
      <c r="BA177" s="15"/>
      <c r="BC177" s="15"/>
      <c r="BF177" s="15"/>
      <c r="BG177" s="15"/>
    </row>
    <row r="178" spans="1:59" ht="14.25" customHeight="1" x14ac:dyDescent="0.3">
      <c r="A178" s="15"/>
      <c r="B178" s="15"/>
      <c r="C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S178" s="15"/>
      <c r="AT178" s="15"/>
      <c r="AU178" s="15"/>
      <c r="AV178" s="15"/>
      <c r="AX178" s="15"/>
      <c r="AY178" s="15"/>
      <c r="AZ178" s="15"/>
      <c r="BA178" s="15"/>
      <c r="BC178" s="15"/>
      <c r="BF178" s="15"/>
      <c r="BG178" s="15"/>
    </row>
    <row r="179" spans="1:59" ht="14.25" customHeight="1" x14ac:dyDescent="0.3">
      <c r="A179" s="15"/>
      <c r="B179" s="15"/>
      <c r="C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S179" s="15"/>
      <c r="AT179" s="15"/>
      <c r="AU179" s="15"/>
      <c r="AV179" s="15"/>
      <c r="AX179" s="15"/>
      <c r="AY179" s="15"/>
      <c r="AZ179" s="15"/>
      <c r="BA179" s="15"/>
      <c r="BC179" s="15"/>
      <c r="BF179" s="15"/>
      <c r="BG179" s="15"/>
    </row>
    <row r="180" spans="1:59" ht="14.25" customHeight="1" x14ac:dyDescent="0.3">
      <c r="A180" s="15"/>
      <c r="B180" s="15"/>
      <c r="C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S180" s="15"/>
      <c r="AT180" s="15"/>
      <c r="AU180" s="15"/>
      <c r="AV180" s="15"/>
      <c r="AX180" s="15"/>
      <c r="AY180" s="15"/>
      <c r="AZ180" s="15"/>
      <c r="BA180" s="15"/>
      <c r="BC180" s="15"/>
      <c r="BF180" s="15"/>
      <c r="BG180" s="15"/>
    </row>
    <row r="181" spans="1:59" ht="14.25" customHeight="1" x14ac:dyDescent="0.3">
      <c r="A181" s="15"/>
      <c r="B181" s="15"/>
      <c r="C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S181" s="15"/>
      <c r="AT181" s="15"/>
      <c r="AU181" s="15"/>
      <c r="AV181" s="15"/>
      <c r="AX181" s="15"/>
      <c r="AY181" s="15"/>
      <c r="AZ181" s="15"/>
      <c r="BA181" s="15"/>
      <c r="BC181" s="15"/>
      <c r="BF181" s="15"/>
      <c r="BG181" s="15"/>
    </row>
    <row r="182" spans="1:59" ht="14.25" customHeight="1" x14ac:dyDescent="0.3">
      <c r="A182" s="15"/>
      <c r="B182" s="15"/>
      <c r="C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S182" s="15"/>
      <c r="AT182" s="15"/>
      <c r="AU182" s="15"/>
      <c r="AV182" s="15"/>
      <c r="AX182" s="15"/>
      <c r="AY182" s="15"/>
      <c r="AZ182" s="15"/>
      <c r="BA182" s="15"/>
      <c r="BC182" s="15"/>
      <c r="BF182" s="15"/>
      <c r="BG182" s="15"/>
    </row>
    <row r="183" spans="1:59" ht="14.25" customHeight="1" x14ac:dyDescent="0.3">
      <c r="A183" s="15"/>
      <c r="B183" s="15"/>
      <c r="C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S183" s="15"/>
      <c r="AT183" s="15"/>
      <c r="AU183" s="15"/>
      <c r="AV183" s="15"/>
      <c r="AX183" s="15"/>
      <c r="AY183" s="15"/>
      <c r="AZ183" s="15"/>
      <c r="BA183" s="15"/>
      <c r="BC183" s="15"/>
      <c r="BF183" s="15"/>
      <c r="BG183" s="15"/>
    </row>
    <row r="184" spans="1:59" ht="14.25" customHeight="1" x14ac:dyDescent="0.3">
      <c r="A184" s="15"/>
      <c r="B184" s="15"/>
      <c r="C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S184" s="15"/>
      <c r="AT184" s="15"/>
      <c r="AU184" s="15"/>
      <c r="AV184" s="15"/>
      <c r="AX184" s="15"/>
      <c r="AY184" s="15"/>
      <c r="AZ184" s="15"/>
      <c r="BA184" s="15"/>
      <c r="BC184" s="15"/>
      <c r="BF184" s="15"/>
      <c r="BG184" s="15"/>
    </row>
    <row r="185" spans="1:59" ht="14.25" customHeight="1" x14ac:dyDescent="0.3">
      <c r="A185" s="15"/>
      <c r="B185" s="15"/>
      <c r="C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S185" s="15"/>
      <c r="AT185" s="15"/>
      <c r="AU185" s="15"/>
      <c r="AV185" s="15"/>
      <c r="AX185" s="15"/>
      <c r="AY185" s="15"/>
      <c r="AZ185" s="15"/>
      <c r="BA185" s="15"/>
      <c r="BC185" s="15"/>
      <c r="BF185" s="15"/>
      <c r="BG185" s="15"/>
    </row>
    <row r="186" spans="1:59" ht="14.25" customHeight="1" x14ac:dyDescent="0.3">
      <c r="A186" s="15"/>
      <c r="B186" s="15"/>
      <c r="C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S186" s="15"/>
      <c r="AT186" s="15"/>
      <c r="AU186" s="15"/>
      <c r="AV186" s="15"/>
      <c r="AX186" s="15"/>
      <c r="AY186" s="15"/>
      <c r="AZ186" s="15"/>
      <c r="BA186" s="15"/>
      <c r="BC186" s="15"/>
      <c r="BF186" s="15"/>
      <c r="BG186" s="15"/>
    </row>
    <row r="187" spans="1:59" ht="14.25" customHeight="1" x14ac:dyDescent="0.3">
      <c r="A187" s="15"/>
      <c r="B187" s="15"/>
      <c r="C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S187" s="15"/>
      <c r="AT187" s="15"/>
      <c r="AU187" s="15"/>
      <c r="AV187" s="15"/>
      <c r="AX187" s="15"/>
      <c r="AY187" s="15"/>
      <c r="AZ187" s="15"/>
      <c r="BA187" s="15"/>
      <c r="BC187" s="15"/>
      <c r="BF187" s="15"/>
      <c r="BG187" s="15"/>
    </row>
    <row r="188" spans="1:59" ht="14.25" customHeight="1" x14ac:dyDescent="0.3">
      <c r="A188" s="15"/>
      <c r="B188" s="15"/>
      <c r="C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S188" s="15"/>
      <c r="AT188" s="15"/>
      <c r="AU188" s="15"/>
      <c r="AV188" s="15"/>
      <c r="AX188" s="15"/>
      <c r="AY188" s="15"/>
      <c r="AZ188" s="15"/>
      <c r="BA188" s="15"/>
      <c r="BC188" s="15"/>
      <c r="BF188" s="15"/>
      <c r="BG188" s="15"/>
    </row>
    <row r="189" spans="1:59" ht="14.25" customHeight="1" x14ac:dyDescent="0.3">
      <c r="A189" s="15"/>
      <c r="B189" s="15"/>
      <c r="C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S189" s="15"/>
      <c r="AT189" s="15"/>
      <c r="AU189" s="15"/>
      <c r="AV189" s="15"/>
      <c r="AX189" s="15"/>
      <c r="AY189" s="15"/>
      <c r="AZ189" s="15"/>
      <c r="BA189" s="15"/>
      <c r="BC189" s="15"/>
      <c r="BF189" s="15"/>
      <c r="BG189" s="15"/>
    </row>
    <row r="190" spans="1:59" ht="14.25" customHeight="1" x14ac:dyDescent="0.3">
      <c r="A190" s="15"/>
      <c r="B190" s="15"/>
      <c r="C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S190" s="15"/>
      <c r="AT190" s="15"/>
      <c r="AU190" s="15"/>
      <c r="AV190" s="15"/>
      <c r="AX190" s="15"/>
      <c r="AY190" s="15"/>
      <c r="AZ190" s="15"/>
      <c r="BA190" s="15"/>
      <c r="BC190" s="15"/>
      <c r="BF190" s="15"/>
      <c r="BG190" s="15"/>
    </row>
    <row r="191" spans="1:59" ht="14.25" customHeight="1" x14ac:dyDescent="0.3">
      <c r="A191" s="15"/>
      <c r="B191" s="15"/>
      <c r="C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S191" s="15"/>
      <c r="AT191" s="15"/>
      <c r="AU191" s="15"/>
      <c r="AV191" s="15"/>
      <c r="AX191" s="15"/>
      <c r="AY191" s="15"/>
      <c r="AZ191" s="15"/>
      <c r="BA191" s="15"/>
      <c r="BC191" s="15"/>
      <c r="BF191" s="15"/>
      <c r="BG191" s="15"/>
    </row>
    <row r="192" spans="1:59" ht="14.25" customHeight="1" x14ac:dyDescent="0.3">
      <c r="A192" s="15"/>
      <c r="B192" s="15"/>
      <c r="C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S192" s="15"/>
      <c r="AT192" s="15"/>
      <c r="AU192" s="15"/>
      <c r="AV192" s="15"/>
      <c r="AX192" s="15"/>
      <c r="AY192" s="15"/>
      <c r="AZ192" s="15"/>
      <c r="BA192" s="15"/>
      <c r="BC192" s="15"/>
      <c r="BF192" s="15"/>
      <c r="BG192" s="15"/>
    </row>
    <row r="193" spans="1:59" ht="14.25" customHeight="1" x14ac:dyDescent="0.3">
      <c r="A193" s="15"/>
      <c r="B193" s="15"/>
      <c r="C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S193" s="15"/>
      <c r="AT193" s="15"/>
      <c r="AU193" s="15"/>
      <c r="AV193" s="15"/>
      <c r="AX193" s="15"/>
      <c r="AY193" s="15"/>
      <c r="AZ193" s="15"/>
      <c r="BA193" s="15"/>
      <c r="BC193" s="15"/>
      <c r="BF193" s="15"/>
      <c r="BG193" s="15"/>
    </row>
    <row r="194" spans="1:59" ht="14.25" customHeight="1" x14ac:dyDescent="0.3">
      <c r="A194" s="15"/>
      <c r="B194" s="15"/>
      <c r="C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S194" s="15"/>
      <c r="AT194" s="15"/>
      <c r="AU194" s="15"/>
      <c r="AV194" s="15"/>
      <c r="AX194" s="15"/>
      <c r="AY194" s="15"/>
      <c r="AZ194" s="15"/>
      <c r="BA194" s="15"/>
      <c r="BC194" s="15"/>
      <c r="BF194" s="15"/>
      <c r="BG194" s="15"/>
    </row>
    <row r="195" spans="1:59" ht="14.25" customHeight="1" x14ac:dyDescent="0.3">
      <c r="A195" s="15"/>
      <c r="B195" s="15"/>
      <c r="C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S195" s="15"/>
      <c r="AT195" s="15"/>
      <c r="AU195" s="15"/>
      <c r="AV195" s="15"/>
      <c r="AX195" s="15"/>
      <c r="AY195" s="15"/>
      <c r="AZ195" s="15"/>
      <c r="BA195" s="15"/>
      <c r="BC195" s="15"/>
      <c r="BF195" s="15"/>
      <c r="BG195" s="15"/>
    </row>
    <row r="196" spans="1:59" ht="14.25" customHeight="1" x14ac:dyDescent="0.3">
      <c r="A196" s="15"/>
      <c r="B196" s="15"/>
      <c r="C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S196" s="15"/>
      <c r="AT196" s="15"/>
      <c r="AU196" s="15"/>
      <c r="AV196" s="15"/>
      <c r="AX196" s="15"/>
      <c r="AY196" s="15"/>
      <c r="AZ196" s="15"/>
      <c r="BA196" s="15"/>
      <c r="BC196" s="15"/>
      <c r="BF196" s="15"/>
      <c r="BG196" s="15"/>
    </row>
    <row r="197" spans="1:59" ht="14.25" customHeight="1" x14ac:dyDescent="0.3">
      <c r="A197" s="15"/>
      <c r="B197" s="15"/>
      <c r="C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S197" s="15"/>
      <c r="AT197" s="15"/>
      <c r="AU197" s="15"/>
      <c r="AV197" s="15"/>
      <c r="AX197" s="15"/>
      <c r="AY197" s="15"/>
      <c r="AZ197" s="15"/>
      <c r="BA197" s="15"/>
      <c r="BC197" s="15"/>
      <c r="BF197" s="15"/>
      <c r="BG197" s="15"/>
    </row>
    <row r="198" spans="1:59" ht="14.25" customHeight="1" x14ac:dyDescent="0.3">
      <c r="A198" s="15"/>
      <c r="B198" s="15"/>
      <c r="C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S198" s="15"/>
      <c r="AT198" s="15"/>
      <c r="AU198" s="15"/>
      <c r="AV198" s="15"/>
      <c r="AX198" s="15"/>
      <c r="AY198" s="15"/>
      <c r="AZ198" s="15"/>
      <c r="BA198" s="15"/>
      <c r="BC198" s="15"/>
      <c r="BF198" s="15"/>
      <c r="BG198" s="15"/>
    </row>
    <row r="199" spans="1:59" ht="14.25" customHeight="1" x14ac:dyDescent="0.3">
      <c r="A199" s="15"/>
      <c r="B199" s="15"/>
      <c r="C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S199" s="15"/>
      <c r="AT199" s="15"/>
      <c r="AU199" s="15"/>
      <c r="AV199" s="15"/>
      <c r="AX199" s="15"/>
      <c r="AY199" s="15"/>
      <c r="AZ199" s="15"/>
      <c r="BA199" s="15"/>
      <c r="BC199" s="15"/>
      <c r="BF199" s="15"/>
      <c r="BG199" s="15"/>
    </row>
    <row r="200" spans="1:59" ht="14.25" customHeight="1" x14ac:dyDescent="0.3">
      <c r="A200" s="15"/>
      <c r="B200" s="15"/>
      <c r="C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S200" s="15"/>
      <c r="AT200" s="15"/>
      <c r="AU200" s="15"/>
      <c r="AV200" s="15"/>
      <c r="AX200" s="15"/>
      <c r="AY200" s="15"/>
      <c r="AZ200" s="15"/>
      <c r="BA200" s="15"/>
      <c r="BC200" s="15"/>
      <c r="BF200" s="15"/>
      <c r="BG200" s="15"/>
    </row>
    <row r="201" spans="1:59" ht="14.25" customHeight="1" x14ac:dyDescent="0.3">
      <c r="A201" s="15"/>
      <c r="B201" s="15"/>
      <c r="C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S201" s="15"/>
      <c r="AT201" s="15"/>
      <c r="AU201" s="15"/>
      <c r="AV201" s="15"/>
      <c r="AX201" s="15"/>
      <c r="AY201" s="15"/>
      <c r="AZ201" s="15"/>
      <c r="BA201" s="15"/>
      <c r="BC201" s="15"/>
      <c r="BF201" s="15"/>
      <c r="BG201" s="15"/>
    </row>
    <row r="202" spans="1:59" ht="14.25" customHeight="1" x14ac:dyDescent="0.3">
      <c r="A202" s="15"/>
      <c r="B202" s="15"/>
      <c r="C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S202" s="15"/>
      <c r="AT202" s="15"/>
      <c r="AU202" s="15"/>
      <c r="AV202" s="15"/>
      <c r="AX202" s="15"/>
      <c r="AY202" s="15"/>
      <c r="AZ202" s="15"/>
      <c r="BA202" s="15"/>
      <c r="BC202" s="15"/>
      <c r="BF202" s="15"/>
      <c r="BG202" s="15"/>
    </row>
    <row r="203" spans="1:59" ht="14.25" customHeight="1" x14ac:dyDescent="0.3">
      <c r="A203" s="15"/>
      <c r="B203" s="15"/>
      <c r="C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S203" s="15"/>
      <c r="AT203" s="15"/>
      <c r="AU203" s="15"/>
      <c r="AV203" s="15"/>
      <c r="AX203" s="15"/>
      <c r="AY203" s="15"/>
      <c r="AZ203" s="15"/>
      <c r="BA203" s="15"/>
      <c r="BC203" s="15"/>
      <c r="BF203" s="15"/>
      <c r="BG203" s="15"/>
    </row>
    <row r="204" spans="1:59" ht="14.25" customHeight="1" x14ac:dyDescent="0.3">
      <c r="A204" s="15"/>
      <c r="B204" s="15"/>
      <c r="C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S204" s="15"/>
      <c r="AT204" s="15"/>
      <c r="AU204" s="15"/>
      <c r="AV204" s="15"/>
      <c r="AX204" s="15"/>
      <c r="AY204" s="15"/>
      <c r="AZ204" s="15"/>
      <c r="BA204" s="15"/>
      <c r="BC204" s="15"/>
      <c r="BF204" s="15"/>
      <c r="BG204" s="15"/>
    </row>
    <row r="205" spans="1:59" ht="14.25" customHeight="1" x14ac:dyDescent="0.3">
      <c r="A205" s="15"/>
      <c r="B205" s="15"/>
      <c r="C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S205" s="15"/>
      <c r="AT205" s="15"/>
      <c r="AU205" s="15"/>
      <c r="AV205" s="15"/>
      <c r="AX205" s="15"/>
      <c r="AY205" s="15"/>
      <c r="AZ205" s="15"/>
      <c r="BA205" s="15"/>
      <c r="BC205" s="15"/>
      <c r="BF205" s="15"/>
      <c r="BG205" s="15"/>
    </row>
    <row r="206" spans="1:59" ht="14.25" customHeight="1" x14ac:dyDescent="0.3">
      <c r="A206" s="15"/>
      <c r="B206" s="15"/>
      <c r="C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S206" s="15"/>
      <c r="AT206" s="15"/>
      <c r="AU206" s="15"/>
      <c r="AV206" s="15"/>
      <c r="AX206" s="15"/>
      <c r="AY206" s="15"/>
      <c r="AZ206" s="15"/>
      <c r="BA206" s="15"/>
      <c r="BC206" s="15"/>
      <c r="BF206" s="15"/>
      <c r="BG206" s="15"/>
    </row>
    <row r="207" spans="1:59" ht="14.25" customHeight="1" x14ac:dyDescent="0.3">
      <c r="A207" s="15"/>
      <c r="B207" s="15"/>
      <c r="C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S207" s="15"/>
      <c r="AT207" s="15"/>
      <c r="AU207" s="15"/>
      <c r="AV207" s="15"/>
      <c r="AX207" s="15"/>
      <c r="AY207" s="15"/>
      <c r="AZ207" s="15"/>
      <c r="BA207" s="15"/>
      <c r="BC207" s="15"/>
      <c r="BF207" s="15"/>
      <c r="BG207" s="15"/>
    </row>
    <row r="208" spans="1:59" ht="14.25" customHeight="1" x14ac:dyDescent="0.3">
      <c r="A208" s="15"/>
      <c r="B208" s="15"/>
      <c r="C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S208" s="15"/>
      <c r="AT208" s="15"/>
      <c r="AU208" s="15"/>
      <c r="AV208" s="15"/>
      <c r="AX208" s="15"/>
      <c r="AY208" s="15"/>
      <c r="AZ208" s="15"/>
      <c r="BA208" s="15"/>
      <c r="BC208" s="15"/>
      <c r="BF208" s="15"/>
      <c r="BG208" s="15"/>
    </row>
    <row r="209" spans="1:59" ht="14.25" customHeight="1" x14ac:dyDescent="0.3">
      <c r="A209" s="15"/>
      <c r="B209" s="15"/>
      <c r="C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S209" s="15"/>
      <c r="AT209" s="15"/>
      <c r="AU209" s="15"/>
      <c r="AV209" s="15"/>
      <c r="AX209" s="15"/>
      <c r="AY209" s="15"/>
      <c r="AZ209" s="15"/>
      <c r="BA209" s="15"/>
      <c r="BC209" s="15"/>
      <c r="BF209" s="15"/>
      <c r="BG209" s="15"/>
    </row>
    <row r="210" spans="1:59" ht="14.25" customHeight="1" x14ac:dyDescent="0.3">
      <c r="A210" s="15"/>
      <c r="B210" s="15"/>
      <c r="C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S210" s="15"/>
      <c r="AT210" s="15"/>
      <c r="AU210" s="15"/>
      <c r="AV210" s="15"/>
      <c r="AX210" s="15"/>
      <c r="AY210" s="15"/>
      <c r="AZ210" s="15"/>
      <c r="BA210" s="15"/>
      <c r="BC210" s="15"/>
      <c r="BF210" s="15"/>
      <c r="BG210" s="15"/>
    </row>
    <row r="211" spans="1:59" ht="14.25" customHeight="1" x14ac:dyDescent="0.3">
      <c r="A211" s="15"/>
      <c r="B211" s="15"/>
      <c r="C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S211" s="15"/>
      <c r="AT211" s="15"/>
      <c r="AU211" s="15"/>
      <c r="AV211" s="15"/>
      <c r="AX211" s="15"/>
      <c r="AY211" s="15"/>
      <c r="AZ211" s="15"/>
      <c r="BA211" s="15"/>
      <c r="BC211" s="15"/>
      <c r="BF211" s="15"/>
      <c r="BG211" s="15"/>
    </row>
    <row r="212" spans="1:59" ht="14.25" customHeight="1" x14ac:dyDescent="0.3">
      <c r="A212" s="15"/>
      <c r="B212" s="15"/>
      <c r="C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S212" s="15"/>
      <c r="AT212" s="15"/>
      <c r="AU212" s="15"/>
      <c r="AV212" s="15"/>
      <c r="AX212" s="15"/>
      <c r="AY212" s="15"/>
      <c r="AZ212" s="15"/>
      <c r="BA212" s="15"/>
      <c r="BC212" s="15"/>
      <c r="BF212" s="15"/>
      <c r="BG212" s="15"/>
    </row>
    <row r="213" spans="1:59" ht="14.25" customHeight="1" x14ac:dyDescent="0.3">
      <c r="A213" s="15"/>
      <c r="B213" s="15"/>
      <c r="C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S213" s="15"/>
      <c r="AT213" s="15"/>
      <c r="AU213" s="15"/>
      <c r="AV213" s="15"/>
      <c r="AX213" s="15"/>
      <c r="AY213" s="15"/>
      <c r="AZ213" s="15"/>
      <c r="BA213" s="15"/>
      <c r="BC213" s="15"/>
      <c r="BF213" s="15"/>
      <c r="BG213" s="15"/>
    </row>
    <row r="214" spans="1:59" ht="14.25" customHeight="1" x14ac:dyDescent="0.3">
      <c r="A214" s="15"/>
      <c r="B214" s="15"/>
      <c r="C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S214" s="15"/>
      <c r="AT214" s="15"/>
      <c r="AU214" s="15"/>
      <c r="AV214" s="15"/>
      <c r="AX214" s="15"/>
      <c r="AY214" s="15"/>
      <c r="AZ214" s="15"/>
      <c r="BA214" s="15"/>
      <c r="BC214" s="15"/>
      <c r="BF214" s="15"/>
      <c r="BG214" s="15"/>
    </row>
    <row r="215" spans="1:59" ht="14.25" customHeight="1" x14ac:dyDescent="0.3">
      <c r="A215" s="15"/>
      <c r="B215" s="15"/>
      <c r="C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S215" s="15"/>
      <c r="AT215" s="15"/>
      <c r="AU215" s="15"/>
      <c r="AV215" s="15"/>
      <c r="AX215" s="15"/>
      <c r="AY215" s="15"/>
      <c r="AZ215" s="15"/>
      <c r="BA215" s="15"/>
      <c r="BC215" s="15"/>
      <c r="BF215" s="15"/>
      <c r="BG215" s="15"/>
    </row>
    <row r="216" spans="1:59" ht="14.25" customHeight="1" x14ac:dyDescent="0.3">
      <c r="A216" s="15"/>
      <c r="B216" s="15"/>
      <c r="C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S216" s="15"/>
      <c r="AT216" s="15"/>
      <c r="AU216" s="15"/>
      <c r="AV216" s="15"/>
      <c r="AX216" s="15"/>
      <c r="AY216" s="15"/>
      <c r="AZ216" s="15"/>
      <c r="BA216" s="15"/>
      <c r="BC216" s="15"/>
      <c r="BF216" s="15"/>
      <c r="BG216" s="15"/>
    </row>
    <row r="217" spans="1:59" ht="14.25" customHeight="1" x14ac:dyDescent="0.3">
      <c r="A217" s="15"/>
      <c r="B217" s="15"/>
      <c r="C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S217" s="15"/>
      <c r="AT217" s="15"/>
      <c r="AU217" s="15"/>
      <c r="AV217" s="15"/>
      <c r="AX217" s="15"/>
      <c r="AY217" s="15"/>
      <c r="AZ217" s="15"/>
      <c r="BA217" s="15"/>
      <c r="BC217" s="15"/>
      <c r="BF217" s="15"/>
      <c r="BG217" s="15"/>
    </row>
    <row r="218" spans="1:59" ht="14.25" customHeight="1" x14ac:dyDescent="0.3">
      <c r="A218" s="15"/>
      <c r="B218" s="15"/>
      <c r="C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S218" s="15"/>
      <c r="AT218" s="15"/>
      <c r="AU218" s="15"/>
      <c r="AV218" s="15"/>
      <c r="AX218" s="15"/>
      <c r="AY218" s="15"/>
      <c r="AZ218" s="15"/>
      <c r="BA218" s="15"/>
      <c r="BC218" s="15"/>
      <c r="BF218" s="15"/>
      <c r="BG218" s="15"/>
    </row>
    <row r="219" spans="1:59" ht="14.25" customHeight="1" x14ac:dyDescent="0.3">
      <c r="A219" s="15"/>
      <c r="B219" s="15"/>
      <c r="C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S219" s="15"/>
      <c r="AT219" s="15"/>
      <c r="AU219" s="15"/>
      <c r="AV219" s="15"/>
      <c r="AX219" s="15"/>
      <c r="AY219" s="15"/>
      <c r="AZ219" s="15"/>
      <c r="BA219" s="15"/>
      <c r="BC219" s="15"/>
      <c r="BF219" s="15"/>
      <c r="BG219" s="15"/>
    </row>
    <row r="220" spans="1:59" ht="14.25" customHeight="1" x14ac:dyDescent="0.3">
      <c r="A220" s="15"/>
      <c r="B220" s="15"/>
      <c r="C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S220" s="15"/>
      <c r="AT220" s="15"/>
      <c r="AU220" s="15"/>
      <c r="AV220" s="15"/>
      <c r="AX220" s="15"/>
      <c r="AY220" s="15"/>
      <c r="AZ220" s="15"/>
      <c r="BA220" s="15"/>
      <c r="BC220" s="15"/>
      <c r="BF220" s="15"/>
      <c r="BG220" s="15"/>
    </row>
    <row r="221" spans="1:59" ht="14.25" customHeight="1" x14ac:dyDescent="0.3">
      <c r="A221" s="15"/>
      <c r="B221" s="15"/>
      <c r="C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S221" s="15"/>
      <c r="AT221" s="15"/>
      <c r="AU221" s="15"/>
      <c r="AV221" s="15"/>
      <c r="AX221" s="15"/>
      <c r="AY221" s="15"/>
      <c r="AZ221" s="15"/>
      <c r="BA221" s="15"/>
      <c r="BC221" s="15"/>
      <c r="BF221" s="15"/>
      <c r="BG221" s="15"/>
    </row>
    <row r="222" spans="1:59" ht="14.25" customHeight="1" x14ac:dyDescent="0.3">
      <c r="A222" s="15"/>
      <c r="B222" s="15"/>
      <c r="C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S222" s="15"/>
      <c r="AT222" s="15"/>
      <c r="AU222" s="15"/>
      <c r="AV222" s="15"/>
      <c r="AX222" s="15"/>
      <c r="AY222" s="15"/>
      <c r="AZ222" s="15"/>
      <c r="BA222" s="15"/>
      <c r="BC222" s="15"/>
      <c r="BF222" s="15"/>
      <c r="BG222" s="15"/>
    </row>
    <row r="223" spans="1:59" ht="14.25" customHeight="1" x14ac:dyDescent="0.3">
      <c r="A223" s="15"/>
      <c r="B223" s="15"/>
      <c r="C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S223" s="15"/>
      <c r="AT223" s="15"/>
      <c r="AU223" s="15"/>
      <c r="AV223" s="15"/>
      <c r="AX223" s="15"/>
      <c r="AY223" s="15"/>
      <c r="AZ223" s="15"/>
      <c r="BA223" s="15"/>
      <c r="BC223" s="15"/>
      <c r="BF223" s="15"/>
      <c r="BG223" s="15"/>
    </row>
    <row r="224" spans="1:59" ht="14.25" customHeight="1" x14ac:dyDescent="0.3">
      <c r="A224" s="15"/>
      <c r="B224" s="15"/>
      <c r="C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S224" s="15"/>
      <c r="AT224" s="15"/>
      <c r="AU224" s="15"/>
      <c r="AV224" s="15"/>
      <c r="AX224" s="15"/>
      <c r="AY224" s="15"/>
      <c r="AZ224" s="15"/>
      <c r="BA224" s="15"/>
      <c r="BC224" s="15"/>
      <c r="BF224" s="15"/>
      <c r="BG224" s="15"/>
    </row>
    <row r="225" spans="1:59" ht="14.25" customHeight="1" x14ac:dyDescent="0.3">
      <c r="A225" s="15"/>
      <c r="B225" s="15"/>
      <c r="C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S225" s="15"/>
      <c r="AT225" s="15"/>
      <c r="AU225" s="15"/>
      <c r="AV225" s="15"/>
      <c r="AX225" s="15"/>
      <c r="AY225" s="15"/>
      <c r="AZ225" s="15"/>
      <c r="BA225" s="15"/>
      <c r="BC225" s="15"/>
      <c r="BF225" s="15"/>
      <c r="BG225" s="15"/>
    </row>
    <row r="226" spans="1:59" ht="14.25" customHeight="1" x14ac:dyDescent="0.3">
      <c r="A226" s="15"/>
      <c r="B226" s="15"/>
      <c r="C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S226" s="15"/>
      <c r="AT226" s="15"/>
      <c r="AU226" s="15"/>
      <c r="AV226" s="15"/>
      <c r="AX226" s="15"/>
      <c r="AY226" s="15"/>
      <c r="AZ226" s="15"/>
      <c r="BA226" s="15"/>
      <c r="BC226" s="15"/>
      <c r="BF226" s="15"/>
      <c r="BG226" s="15"/>
    </row>
    <row r="227" spans="1:59" ht="14.25" customHeight="1" x14ac:dyDescent="0.3">
      <c r="A227" s="15"/>
      <c r="B227" s="15"/>
      <c r="C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S227" s="15"/>
      <c r="AT227" s="15"/>
      <c r="AU227" s="15"/>
      <c r="AV227" s="15"/>
      <c r="AX227" s="15"/>
      <c r="AY227" s="15"/>
      <c r="AZ227" s="15"/>
      <c r="BA227" s="15"/>
      <c r="BC227" s="15"/>
      <c r="BF227" s="15"/>
      <c r="BG227" s="15"/>
    </row>
    <row r="228" spans="1:59" ht="14.25" customHeight="1" x14ac:dyDescent="0.3">
      <c r="A228" s="15"/>
      <c r="B228" s="15"/>
      <c r="C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S228" s="15"/>
      <c r="AT228" s="15"/>
      <c r="AU228" s="15"/>
      <c r="AV228" s="15"/>
      <c r="AX228" s="15"/>
      <c r="AY228" s="15"/>
      <c r="AZ228" s="15"/>
      <c r="BA228" s="15"/>
      <c r="BC228" s="15"/>
      <c r="BF228" s="15"/>
      <c r="BG228" s="15"/>
    </row>
    <row r="229" spans="1:59" ht="14.25" customHeight="1" x14ac:dyDescent="0.3">
      <c r="A229" s="15"/>
      <c r="B229" s="15"/>
      <c r="C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S229" s="15"/>
      <c r="AT229" s="15"/>
      <c r="AU229" s="15"/>
      <c r="AV229" s="15"/>
      <c r="AX229" s="15"/>
      <c r="AY229" s="15"/>
      <c r="AZ229" s="15"/>
      <c r="BA229" s="15"/>
      <c r="BC229" s="15"/>
      <c r="BF229" s="15"/>
      <c r="BG229" s="15"/>
    </row>
    <row r="230" spans="1:59" ht="14.25" customHeight="1" x14ac:dyDescent="0.3">
      <c r="A230" s="15"/>
      <c r="B230" s="15"/>
      <c r="C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S230" s="15"/>
      <c r="AT230" s="15"/>
      <c r="AU230" s="15"/>
      <c r="AV230" s="15"/>
      <c r="AX230" s="15"/>
      <c r="AY230" s="15"/>
      <c r="AZ230" s="15"/>
      <c r="BA230" s="15"/>
      <c r="BC230" s="15"/>
      <c r="BF230" s="15"/>
      <c r="BG230" s="15"/>
    </row>
    <row r="231" spans="1:59" ht="14.25" customHeight="1" x14ac:dyDescent="0.3">
      <c r="A231" s="15"/>
      <c r="B231" s="15"/>
      <c r="C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S231" s="15"/>
      <c r="AT231" s="15"/>
      <c r="AU231" s="15"/>
      <c r="AV231" s="15"/>
      <c r="AX231" s="15"/>
      <c r="AY231" s="15"/>
      <c r="AZ231" s="15"/>
      <c r="BA231" s="15"/>
      <c r="BC231" s="15"/>
      <c r="BF231" s="15"/>
      <c r="BG231" s="15"/>
    </row>
    <row r="232" spans="1:59" ht="14.25" customHeight="1" x14ac:dyDescent="0.3">
      <c r="A232" s="15"/>
      <c r="B232" s="15"/>
      <c r="C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S232" s="15"/>
      <c r="AT232" s="15"/>
      <c r="AU232" s="15"/>
      <c r="AV232" s="15"/>
      <c r="AX232" s="15"/>
      <c r="AY232" s="15"/>
      <c r="AZ232" s="15"/>
      <c r="BA232" s="15"/>
      <c r="BC232" s="15"/>
      <c r="BF232" s="15"/>
      <c r="BG232" s="15"/>
    </row>
    <row r="233" spans="1:59" ht="14.25" customHeight="1" x14ac:dyDescent="0.3">
      <c r="A233" s="15"/>
      <c r="B233" s="15"/>
      <c r="C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S233" s="15"/>
      <c r="AT233" s="15"/>
      <c r="AU233" s="15"/>
      <c r="AV233" s="15"/>
      <c r="AX233" s="15"/>
      <c r="AY233" s="15"/>
      <c r="AZ233" s="15"/>
      <c r="BA233" s="15"/>
      <c r="BC233" s="15"/>
      <c r="BF233" s="15"/>
      <c r="BG233" s="15"/>
    </row>
    <row r="234" spans="1:59" ht="14.25" customHeight="1" x14ac:dyDescent="0.3">
      <c r="A234" s="15"/>
      <c r="B234" s="15"/>
      <c r="C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S234" s="15"/>
      <c r="AT234" s="15"/>
      <c r="AU234" s="15"/>
      <c r="AV234" s="15"/>
      <c r="AX234" s="15"/>
      <c r="AY234" s="15"/>
      <c r="AZ234" s="15"/>
      <c r="BA234" s="15"/>
      <c r="BC234" s="15"/>
      <c r="BF234" s="15"/>
      <c r="BG234" s="15"/>
    </row>
    <row r="235" spans="1:59" ht="14.25" customHeight="1" x14ac:dyDescent="0.3">
      <c r="A235" s="15"/>
      <c r="B235" s="15"/>
      <c r="C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S235" s="15"/>
      <c r="AT235" s="15"/>
      <c r="AU235" s="15"/>
      <c r="AV235" s="15"/>
      <c r="AX235" s="15"/>
      <c r="AY235" s="15"/>
      <c r="AZ235" s="15"/>
      <c r="BA235" s="15"/>
      <c r="BC235" s="15"/>
      <c r="BF235" s="15"/>
      <c r="BG235" s="15"/>
    </row>
    <row r="236" spans="1:59" ht="14.25" customHeight="1" x14ac:dyDescent="0.3">
      <c r="A236" s="15"/>
      <c r="B236" s="15"/>
      <c r="C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S236" s="15"/>
      <c r="AT236" s="15"/>
      <c r="AU236" s="15"/>
      <c r="AV236" s="15"/>
      <c r="AX236" s="15"/>
      <c r="AY236" s="15"/>
      <c r="AZ236" s="15"/>
      <c r="BA236" s="15"/>
      <c r="BC236" s="15"/>
      <c r="BF236" s="15"/>
      <c r="BG236" s="15"/>
    </row>
    <row r="237" spans="1:59" ht="14.25" customHeight="1" x14ac:dyDescent="0.3">
      <c r="A237" s="15"/>
      <c r="B237" s="15"/>
      <c r="C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S237" s="15"/>
      <c r="AT237" s="15"/>
      <c r="AU237" s="15"/>
      <c r="AV237" s="15"/>
      <c r="AX237" s="15"/>
      <c r="AY237" s="15"/>
      <c r="AZ237" s="15"/>
      <c r="BA237" s="15"/>
      <c r="BC237" s="15"/>
      <c r="BF237" s="15"/>
      <c r="BG237" s="15"/>
    </row>
    <row r="238" spans="1:59" ht="14.25" customHeight="1" x14ac:dyDescent="0.3">
      <c r="A238" s="15"/>
      <c r="B238" s="15"/>
      <c r="C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S238" s="15"/>
      <c r="AT238" s="15"/>
      <c r="AU238" s="15"/>
      <c r="AV238" s="15"/>
      <c r="AX238" s="15"/>
      <c r="AY238" s="15"/>
      <c r="AZ238" s="15"/>
      <c r="BA238" s="15"/>
      <c r="BC238" s="15"/>
      <c r="BF238" s="15"/>
      <c r="BG238" s="15"/>
    </row>
    <row r="239" spans="1:59" ht="14.25" customHeight="1" x14ac:dyDescent="0.3">
      <c r="A239" s="15"/>
      <c r="B239" s="15"/>
      <c r="C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S239" s="15"/>
      <c r="AT239" s="15"/>
      <c r="AU239" s="15"/>
      <c r="AV239" s="15"/>
      <c r="AX239" s="15"/>
      <c r="AY239" s="15"/>
      <c r="AZ239" s="15"/>
      <c r="BA239" s="15"/>
      <c r="BC239" s="15"/>
      <c r="BF239" s="15"/>
      <c r="BG239" s="15"/>
    </row>
    <row r="240" spans="1:59" ht="14.25" customHeight="1" x14ac:dyDescent="0.3">
      <c r="A240" s="15"/>
      <c r="B240" s="15"/>
      <c r="C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S240" s="15"/>
      <c r="AT240" s="15"/>
      <c r="AU240" s="15"/>
      <c r="AV240" s="15"/>
      <c r="AX240" s="15"/>
      <c r="AY240" s="15"/>
      <c r="AZ240" s="15"/>
      <c r="BA240" s="15"/>
      <c r="BC240" s="15"/>
      <c r="BF240" s="15"/>
      <c r="BG240" s="15"/>
    </row>
    <row r="241" spans="1:59" ht="14.25" customHeight="1" x14ac:dyDescent="0.3">
      <c r="A241" s="15"/>
      <c r="B241" s="15"/>
      <c r="C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S241" s="15"/>
      <c r="AT241" s="15"/>
      <c r="AU241" s="15"/>
      <c r="AV241" s="15"/>
      <c r="AX241" s="15"/>
      <c r="AY241" s="15"/>
      <c r="AZ241" s="15"/>
      <c r="BA241" s="15"/>
      <c r="BC241" s="15"/>
      <c r="BF241" s="15"/>
      <c r="BG241" s="15"/>
    </row>
    <row r="242" spans="1:59" ht="14.25" customHeight="1" x14ac:dyDescent="0.3">
      <c r="A242" s="15"/>
      <c r="B242" s="15"/>
      <c r="C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S242" s="15"/>
      <c r="AT242" s="15"/>
      <c r="AU242" s="15"/>
      <c r="AV242" s="15"/>
      <c r="AX242" s="15"/>
      <c r="AY242" s="15"/>
      <c r="AZ242" s="15"/>
      <c r="BA242" s="15"/>
      <c r="BC242" s="15"/>
      <c r="BF242" s="15"/>
      <c r="BG242" s="15"/>
    </row>
    <row r="243" spans="1:59" ht="14.25" customHeight="1" x14ac:dyDescent="0.3">
      <c r="A243" s="15"/>
      <c r="B243" s="15"/>
      <c r="C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S243" s="15"/>
      <c r="AT243" s="15"/>
      <c r="AU243" s="15"/>
      <c r="AV243" s="15"/>
      <c r="AX243" s="15"/>
      <c r="AY243" s="15"/>
      <c r="AZ243" s="15"/>
      <c r="BA243" s="15"/>
      <c r="BC243" s="15"/>
      <c r="BF243" s="15"/>
      <c r="BG243" s="15"/>
    </row>
    <row r="244" spans="1:59" ht="14.25" customHeight="1" x14ac:dyDescent="0.3">
      <c r="A244" s="15"/>
      <c r="B244" s="15"/>
      <c r="C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S244" s="15"/>
      <c r="AT244" s="15"/>
      <c r="AU244" s="15"/>
      <c r="AV244" s="15"/>
      <c r="AX244" s="15"/>
      <c r="AY244" s="15"/>
      <c r="AZ244" s="15"/>
      <c r="BA244" s="15"/>
      <c r="BC244" s="15"/>
      <c r="BF244" s="15"/>
      <c r="BG244" s="15"/>
    </row>
    <row r="245" spans="1:59" ht="14.25" customHeight="1" x14ac:dyDescent="0.3">
      <c r="A245" s="15"/>
      <c r="B245" s="15"/>
      <c r="C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S245" s="15"/>
      <c r="AT245" s="15"/>
      <c r="AU245" s="15"/>
      <c r="AV245" s="15"/>
      <c r="AX245" s="15"/>
      <c r="AY245" s="15"/>
      <c r="AZ245" s="15"/>
      <c r="BA245" s="15"/>
      <c r="BC245" s="15"/>
      <c r="BF245" s="15"/>
      <c r="BG245" s="15"/>
    </row>
    <row r="246" spans="1:59" ht="14.25" customHeight="1" x14ac:dyDescent="0.3">
      <c r="A246" s="15"/>
      <c r="B246" s="15"/>
      <c r="C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S246" s="15"/>
      <c r="AT246" s="15"/>
      <c r="AU246" s="15"/>
      <c r="AV246" s="15"/>
      <c r="AX246" s="15"/>
      <c r="AY246" s="15"/>
      <c r="AZ246" s="15"/>
      <c r="BA246" s="15"/>
      <c r="BC246" s="15"/>
      <c r="BF246" s="15"/>
      <c r="BG246" s="15"/>
    </row>
    <row r="247" spans="1:59" ht="14.25" customHeight="1" x14ac:dyDescent="0.3">
      <c r="A247" s="15"/>
      <c r="B247" s="15"/>
      <c r="C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S247" s="15"/>
      <c r="AT247" s="15"/>
      <c r="AU247" s="15"/>
      <c r="AV247" s="15"/>
      <c r="AX247" s="15"/>
      <c r="AY247" s="15"/>
      <c r="AZ247" s="15"/>
      <c r="BA247" s="15"/>
      <c r="BC247" s="15"/>
      <c r="BF247" s="15"/>
      <c r="BG247" s="15"/>
    </row>
    <row r="248" spans="1:59" ht="14.25" customHeight="1" x14ac:dyDescent="0.3">
      <c r="A248" s="15"/>
      <c r="B248" s="15"/>
      <c r="C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S248" s="15"/>
      <c r="AT248" s="15"/>
      <c r="AU248" s="15"/>
      <c r="AV248" s="15"/>
      <c r="AX248" s="15"/>
      <c r="AY248" s="15"/>
      <c r="AZ248" s="15"/>
      <c r="BA248" s="15"/>
      <c r="BC248" s="15"/>
      <c r="BF248" s="15"/>
      <c r="BG248" s="15"/>
    </row>
    <row r="249" spans="1:59" ht="14.25" customHeight="1" x14ac:dyDescent="0.3">
      <c r="A249" s="15"/>
      <c r="B249" s="15"/>
      <c r="C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S249" s="15"/>
      <c r="AT249" s="15"/>
      <c r="AU249" s="15"/>
      <c r="AV249" s="15"/>
      <c r="AX249" s="15"/>
      <c r="AY249" s="15"/>
      <c r="AZ249" s="15"/>
      <c r="BA249" s="15"/>
      <c r="BC249" s="15"/>
      <c r="BF249" s="15"/>
      <c r="BG249" s="15"/>
    </row>
    <row r="250" spans="1:59" ht="14.25" customHeight="1" x14ac:dyDescent="0.3">
      <c r="A250" s="15"/>
      <c r="B250" s="15"/>
      <c r="C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S250" s="15"/>
      <c r="AT250" s="15"/>
      <c r="AU250" s="15"/>
      <c r="AV250" s="15"/>
      <c r="AX250" s="15"/>
      <c r="AY250" s="15"/>
      <c r="AZ250" s="15"/>
      <c r="BA250" s="15"/>
      <c r="BC250" s="15"/>
      <c r="BF250" s="15"/>
      <c r="BG250" s="15"/>
    </row>
    <row r="251" spans="1:59" ht="14.25" customHeight="1" x14ac:dyDescent="0.3">
      <c r="A251" s="15"/>
      <c r="B251" s="15"/>
      <c r="C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S251" s="15"/>
      <c r="AT251" s="15"/>
      <c r="AU251" s="15"/>
      <c r="AV251" s="15"/>
      <c r="AX251" s="15"/>
      <c r="AY251" s="15"/>
      <c r="AZ251" s="15"/>
      <c r="BA251" s="15"/>
      <c r="BC251" s="15"/>
      <c r="BF251" s="15"/>
      <c r="BG251" s="15"/>
    </row>
    <row r="252" spans="1:59" ht="14.25" customHeight="1" x14ac:dyDescent="0.3">
      <c r="A252" s="15"/>
      <c r="B252" s="15"/>
      <c r="C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S252" s="15"/>
      <c r="AT252" s="15"/>
      <c r="AU252" s="15"/>
      <c r="AV252" s="15"/>
      <c r="AX252" s="15"/>
      <c r="AY252" s="15"/>
      <c r="AZ252" s="15"/>
      <c r="BA252" s="15"/>
      <c r="BC252" s="15"/>
      <c r="BF252" s="15"/>
      <c r="BG252" s="15"/>
    </row>
    <row r="253" spans="1:59" ht="14.25" customHeight="1" x14ac:dyDescent="0.3">
      <c r="A253" s="15"/>
      <c r="B253" s="15"/>
      <c r="C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S253" s="15"/>
      <c r="AT253" s="15"/>
      <c r="AU253" s="15"/>
      <c r="AV253" s="15"/>
      <c r="AX253" s="15"/>
      <c r="AY253" s="15"/>
      <c r="AZ253" s="15"/>
      <c r="BA253" s="15"/>
      <c r="BC253" s="15"/>
      <c r="BF253" s="15"/>
      <c r="BG253" s="15"/>
    </row>
    <row r="254" spans="1:59" ht="14.25" customHeight="1" x14ac:dyDescent="0.3">
      <c r="A254" s="15"/>
      <c r="B254" s="15"/>
      <c r="C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S254" s="15"/>
      <c r="AT254" s="15"/>
      <c r="AU254" s="15"/>
      <c r="AV254" s="15"/>
      <c r="AX254" s="15"/>
      <c r="AY254" s="15"/>
      <c r="AZ254" s="15"/>
      <c r="BA254" s="15"/>
      <c r="BC254" s="15"/>
      <c r="BF254" s="15"/>
      <c r="BG254" s="15"/>
    </row>
    <row r="255" spans="1:59" ht="14.25" customHeight="1" x14ac:dyDescent="0.3">
      <c r="A255" s="15"/>
      <c r="B255" s="15"/>
      <c r="C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S255" s="15"/>
      <c r="AT255" s="15"/>
      <c r="AU255" s="15"/>
      <c r="AV255" s="15"/>
      <c r="AX255" s="15"/>
      <c r="AY255" s="15"/>
      <c r="AZ255" s="15"/>
      <c r="BA255" s="15"/>
      <c r="BC255" s="15"/>
      <c r="BF255" s="15"/>
      <c r="BG255" s="15"/>
    </row>
    <row r="256" spans="1:59" ht="14.25" customHeight="1" x14ac:dyDescent="0.3">
      <c r="A256" s="15"/>
      <c r="B256" s="15"/>
      <c r="C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S256" s="15"/>
      <c r="AT256" s="15"/>
      <c r="AU256" s="15"/>
      <c r="AV256" s="15"/>
      <c r="AX256" s="15"/>
      <c r="AY256" s="15"/>
      <c r="AZ256" s="15"/>
      <c r="BA256" s="15"/>
      <c r="BC256" s="15"/>
      <c r="BF256" s="15"/>
      <c r="BG256" s="15"/>
    </row>
    <row r="257" spans="1:59" ht="14.25" customHeight="1" x14ac:dyDescent="0.3">
      <c r="A257" s="15"/>
      <c r="B257" s="15"/>
      <c r="C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S257" s="15"/>
      <c r="AT257" s="15"/>
      <c r="AU257" s="15"/>
      <c r="AV257" s="15"/>
      <c r="AX257" s="15"/>
      <c r="AY257" s="15"/>
      <c r="AZ257" s="15"/>
      <c r="BA257" s="15"/>
      <c r="BC257" s="15"/>
      <c r="BF257" s="15"/>
      <c r="BG257" s="15"/>
    </row>
    <row r="258" spans="1:59" ht="14.25" customHeight="1" x14ac:dyDescent="0.3">
      <c r="A258" s="15"/>
      <c r="B258" s="15"/>
      <c r="C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S258" s="15"/>
      <c r="AT258" s="15"/>
      <c r="AU258" s="15"/>
      <c r="AV258" s="15"/>
      <c r="AX258" s="15"/>
      <c r="AY258" s="15"/>
      <c r="AZ258" s="15"/>
      <c r="BA258" s="15"/>
      <c r="BC258" s="15"/>
      <c r="BF258" s="15"/>
      <c r="BG258" s="15"/>
    </row>
    <row r="259" spans="1:59" ht="14.25" customHeight="1" x14ac:dyDescent="0.3">
      <c r="A259" s="15"/>
      <c r="B259" s="15"/>
      <c r="C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S259" s="15"/>
      <c r="AT259" s="15"/>
      <c r="AU259" s="15"/>
      <c r="AV259" s="15"/>
      <c r="AX259" s="15"/>
      <c r="AY259" s="15"/>
      <c r="AZ259" s="15"/>
      <c r="BA259" s="15"/>
      <c r="BC259" s="15"/>
      <c r="BF259" s="15"/>
      <c r="BG259" s="15"/>
    </row>
    <row r="260" spans="1:59" ht="14.25" customHeight="1" x14ac:dyDescent="0.3">
      <c r="A260" s="15"/>
      <c r="B260" s="15"/>
      <c r="C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S260" s="15"/>
      <c r="AT260" s="15"/>
      <c r="AU260" s="15"/>
      <c r="AV260" s="15"/>
      <c r="AX260" s="15"/>
      <c r="AY260" s="15"/>
      <c r="AZ260" s="15"/>
      <c r="BA260" s="15"/>
      <c r="BC260" s="15"/>
      <c r="BF260" s="15"/>
      <c r="BG260" s="15"/>
    </row>
    <row r="261" spans="1:59" ht="14.25" customHeight="1" x14ac:dyDescent="0.3">
      <c r="A261" s="15"/>
      <c r="B261" s="15"/>
      <c r="C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S261" s="15"/>
      <c r="AT261" s="15"/>
      <c r="AU261" s="15"/>
      <c r="AV261" s="15"/>
      <c r="AX261" s="15"/>
      <c r="AY261" s="15"/>
      <c r="AZ261" s="15"/>
      <c r="BA261" s="15"/>
      <c r="BC261" s="15"/>
      <c r="BF261" s="15"/>
      <c r="BG261" s="15"/>
    </row>
    <row r="262" spans="1:59" ht="14.25" customHeight="1" x14ac:dyDescent="0.3">
      <c r="A262" s="15"/>
      <c r="B262" s="15"/>
      <c r="C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S262" s="15"/>
      <c r="AT262" s="15"/>
      <c r="AU262" s="15"/>
      <c r="AV262" s="15"/>
      <c r="AX262" s="15"/>
      <c r="AY262" s="15"/>
      <c r="AZ262" s="15"/>
      <c r="BA262" s="15"/>
      <c r="BC262" s="15"/>
      <c r="BF262" s="15"/>
      <c r="BG262" s="15"/>
    </row>
    <row r="263" spans="1:59" ht="14.25" customHeight="1" x14ac:dyDescent="0.3">
      <c r="A263" s="15"/>
      <c r="B263" s="15"/>
      <c r="C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S263" s="15"/>
      <c r="AT263" s="15"/>
      <c r="AU263" s="15"/>
      <c r="AV263" s="15"/>
      <c r="AX263" s="15"/>
      <c r="AY263" s="15"/>
      <c r="AZ263" s="15"/>
      <c r="BA263" s="15"/>
      <c r="BC263" s="15"/>
      <c r="BF263" s="15"/>
      <c r="BG263" s="15"/>
    </row>
    <row r="264" spans="1:59" ht="14.25" customHeight="1" x14ac:dyDescent="0.3">
      <c r="A264" s="15"/>
      <c r="B264" s="15"/>
      <c r="C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S264" s="15"/>
      <c r="AT264" s="15"/>
      <c r="AU264" s="15"/>
      <c r="AV264" s="15"/>
      <c r="AX264" s="15"/>
      <c r="AY264" s="15"/>
      <c r="AZ264" s="15"/>
      <c r="BA264" s="15"/>
      <c r="BC264" s="15"/>
      <c r="BF264" s="15"/>
      <c r="BG264" s="15"/>
    </row>
    <row r="265" spans="1:59" ht="14.25" customHeight="1" x14ac:dyDescent="0.3">
      <c r="A265" s="15"/>
      <c r="B265" s="15"/>
      <c r="C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S265" s="15"/>
      <c r="AT265" s="15"/>
      <c r="AU265" s="15"/>
      <c r="AV265" s="15"/>
      <c r="AX265" s="15"/>
      <c r="AY265" s="15"/>
      <c r="AZ265" s="15"/>
      <c r="BA265" s="15"/>
      <c r="BC265" s="15"/>
      <c r="BF265" s="15"/>
      <c r="BG265" s="15"/>
    </row>
    <row r="266" spans="1:59" ht="14.25" customHeight="1" x14ac:dyDescent="0.3">
      <c r="A266" s="15"/>
      <c r="B266" s="15"/>
      <c r="C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S266" s="15"/>
      <c r="AT266" s="15"/>
      <c r="AU266" s="15"/>
      <c r="AV266" s="15"/>
      <c r="AX266" s="15"/>
      <c r="AY266" s="15"/>
      <c r="AZ266" s="15"/>
      <c r="BA266" s="15"/>
      <c r="BC266" s="15"/>
      <c r="BF266" s="15"/>
      <c r="BG266" s="15"/>
    </row>
    <row r="267" spans="1:59" ht="14.25" customHeight="1" x14ac:dyDescent="0.3">
      <c r="A267" s="15"/>
      <c r="B267" s="15"/>
      <c r="C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S267" s="15"/>
      <c r="AT267" s="15"/>
      <c r="AU267" s="15"/>
      <c r="AV267" s="15"/>
      <c r="AX267" s="15"/>
      <c r="AY267" s="15"/>
      <c r="AZ267" s="15"/>
      <c r="BA267" s="15"/>
      <c r="BC267" s="15"/>
      <c r="BF267" s="15"/>
      <c r="BG267" s="15"/>
    </row>
    <row r="268" spans="1:59" ht="14.25" customHeight="1" x14ac:dyDescent="0.3">
      <c r="A268" s="15"/>
      <c r="B268" s="15"/>
      <c r="C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S268" s="15"/>
      <c r="AT268" s="15"/>
      <c r="AU268" s="15"/>
      <c r="AV268" s="15"/>
      <c r="AX268" s="15"/>
      <c r="AY268" s="15"/>
      <c r="AZ268" s="15"/>
      <c r="BA268" s="15"/>
      <c r="BC268" s="15"/>
      <c r="BF268" s="15"/>
      <c r="BG268" s="15"/>
    </row>
    <row r="269" spans="1:59" ht="14.25" customHeight="1" x14ac:dyDescent="0.3">
      <c r="A269" s="15"/>
      <c r="B269" s="15"/>
      <c r="C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S269" s="15"/>
      <c r="AT269" s="15"/>
      <c r="AU269" s="15"/>
      <c r="AV269" s="15"/>
      <c r="AX269" s="15"/>
      <c r="AY269" s="15"/>
      <c r="AZ269" s="15"/>
      <c r="BA269" s="15"/>
      <c r="BC269" s="15"/>
      <c r="BF269" s="15"/>
      <c r="BG269" s="15"/>
    </row>
    <row r="270" spans="1:59" ht="14.25" customHeight="1" x14ac:dyDescent="0.3">
      <c r="A270" s="15"/>
      <c r="B270" s="15"/>
      <c r="C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S270" s="15"/>
      <c r="AT270" s="15"/>
      <c r="AU270" s="15"/>
      <c r="AV270" s="15"/>
      <c r="AX270" s="15"/>
      <c r="AY270" s="15"/>
      <c r="AZ270" s="15"/>
      <c r="BA270" s="15"/>
      <c r="BC270" s="15"/>
      <c r="BF270" s="15"/>
      <c r="BG270" s="15"/>
    </row>
    <row r="271" spans="1:59" ht="14.25" customHeight="1" x14ac:dyDescent="0.3">
      <c r="A271" s="15"/>
      <c r="B271" s="15"/>
      <c r="C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S271" s="15"/>
      <c r="AT271" s="15"/>
      <c r="AU271" s="15"/>
      <c r="AV271" s="15"/>
      <c r="AX271" s="15"/>
      <c r="AY271" s="15"/>
      <c r="AZ271" s="15"/>
      <c r="BA271" s="15"/>
      <c r="BC271" s="15"/>
      <c r="BF271" s="15"/>
      <c r="BG271" s="15"/>
    </row>
    <row r="272" spans="1:59" ht="14.25" customHeight="1" x14ac:dyDescent="0.3">
      <c r="A272" s="15"/>
      <c r="B272" s="15"/>
      <c r="C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S272" s="15"/>
      <c r="AT272" s="15"/>
      <c r="AU272" s="15"/>
      <c r="AV272" s="15"/>
      <c r="AX272" s="15"/>
      <c r="AY272" s="15"/>
      <c r="AZ272" s="15"/>
      <c r="BA272" s="15"/>
      <c r="BC272" s="15"/>
      <c r="BF272" s="15"/>
      <c r="BG272" s="15"/>
    </row>
    <row r="273" spans="1:59" ht="14.25" customHeight="1" x14ac:dyDescent="0.3">
      <c r="A273" s="15"/>
      <c r="B273" s="15"/>
      <c r="C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S273" s="15"/>
      <c r="AT273" s="15"/>
      <c r="AU273" s="15"/>
      <c r="AV273" s="15"/>
      <c r="AX273" s="15"/>
      <c r="AY273" s="15"/>
      <c r="AZ273" s="15"/>
      <c r="BA273" s="15"/>
      <c r="BC273" s="15"/>
      <c r="BF273" s="15"/>
      <c r="BG273" s="15"/>
    </row>
    <row r="274" spans="1:59" ht="14.25" customHeight="1" x14ac:dyDescent="0.3">
      <c r="A274" s="15"/>
      <c r="B274" s="15"/>
      <c r="C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S274" s="15"/>
      <c r="AT274" s="15"/>
      <c r="AU274" s="15"/>
      <c r="AV274" s="15"/>
      <c r="AX274" s="15"/>
      <c r="AY274" s="15"/>
      <c r="AZ274" s="15"/>
      <c r="BA274" s="15"/>
      <c r="BC274" s="15"/>
      <c r="BF274" s="15"/>
      <c r="BG274" s="15"/>
    </row>
    <row r="275" spans="1:59" ht="14.25" customHeight="1" x14ac:dyDescent="0.3">
      <c r="A275" s="15"/>
      <c r="B275" s="15"/>
      <c r="C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S275" s="15"/>
      <c r="AT275" s="15"/>
      <c r="AU275" s="15"/>
      <c r="AV275" s="15"/>
      <c r="AX275" s="15"/>
      <c r="AY275" s="15"/>
      <c r="AZ275" s="15"/>
      <c r="BA275" s="15"/>
      <c r="BC275" s="15"/>
      <c r="BF275" s="15"/>
      <c r="BG275" s="15"/>
    </row>
    <row r="276" spans="1:59" ht="14.25" customHeight="1" x14ac:dyDescent="0.3">
      <c r="A276" s="15"/>
      <c r="B276" s="15"/>
      <c r="C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S276" s="15"/>
      <c r="AT276" s="15"/>
      <c r="AU276" s="15"/>
      <c r="AV276" s="15"/>
      <c r="AX276" s="15"/>
      <c r="AY276" s="15"/>
      <c r="AZ276" s="15"/>
      <c r="BA276" s="15"/>
      <c r="BC276" s="15"/>
      <c r="BF276" s="15"/>
      <c r="BG276" s="15"/>
    </row>
    <row r="277" spans="1:59" ht="14.25" customHeight="1" x14ac:dyDescent="0.3">
      <c r="A277" s="15"/>
      <c r="B277" s="15"/>
      <c r="C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S277" s="15"/>
      <c r="AT277" s="15"/>
      <c r="AU277" s="15"/>
      <c r="AV277" s="15"/>
      <c r="AX277" s="15"/>
      <c r="AY277" s="15"/>
      <c r="AZ277" s="15"/>
      <c r="BA277" s="15"/>
      <c r="BC277" s="15"/>
      <c r="BF277" s="15"/>
      <c r="BG277" s="15"/>
    </row>
    <row r="278" spans="1:59" ht="14.25" customHeight="1" x14ac:dyDescent="0.3">
      <c r="A278" s="15"/>
      <c r="B278" s="15"/>
      <c r="C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S278" s="15"/>
      <c r="AT278" s="15"/>
      <c r="AU278" s="15"/>
      <c r="AV278" s="15"/>
      <c r="AX278" s="15"/>
      <c r="AY278" s="15"/>
      <c r="AZ278" s="15"/>
      <c r="BA278" s="15"/>
      <c r="BC278" s="15"/>
      <c r="BF278" s="15"/>
      <c r="BG278" s="15"/>
    </row>
    <row r="279" spans="1:59" ht="14.25" customHeight="1" x14ac:dyDescent="0.3">
      <c r="A279" s="15"/>
      <c r="B279" s="15"/>
      <c r="C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S279" s="15"/>
      <c r="AT279" s="15"/>
      <c r="AU279" s="15"/>
      <c r="AV279" s="15"/>
      <c r="AX279" s="15"/>
      <c r="AY279" s="15"/>
      <c r="AZ279" s="15"/>
      <c r="BA279" s="15"/>
      <c r="BC279" s="15"/>
      <c r="BF279" s="15"/>
      <c r="BG279" s="15"/>
    </row>
    <row r="280" spans="1:59" ht="14.25" customHeight="1" x14ac:dyDescent="0.3">
      <c r="A280" s="15"/>
      <c r="B280" s="15"/>
      <c r="C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S280" s="15"/>
      <c r="AT280" s="15"/>
      <c r="AU280" s="15"/>
      <c r="AV280" s="15"/>
      <c r="AX280" s="15"/>
      <c r="AY280" s="15"/>
      <c r="AZ280" s="15"/>
      <c r="BA280" s="15"/>
      <c r="BC280" s="15"/>
      <c r="BF280" s="15"/>
      <c r="BG280" s="15"/>
    </row>
    <row r="281" spans="1:59" ht="14.25" customHeight="1" x14ac:dyDescent="0.3">
      <c r="A281" s="15"/>
      <c r="B281" s="15"/>
      <c r="C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S281" s="15"/>
      <c r="AT281" s="15"/>
      <c r="AU281" s="15"/>
      <c r="AV281" s="15"/>
      <c r="AX281" s="15"/>
      <c r="AY281" s="15"/>
      <c r="AZ281" s="15"/>
      <c r="BA281" s="15"/>
      <c r="BC281" s="15"/>
      <c r="BF281" s="15"/>
      <c r="BG281" s="15"/>
    </row>
    <row r="282" spans="1:59" ht="14.25" customHeight="1" x14ac:dyDescent="0.3">
      <c r="A282" s="15"/>
      <c r="B282" s="15"/>
      <c r="C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S282" s="15"/>
      <c r="AT282" s="15"/>
      <c r="AU282" s="15"/>
      <c r="AV282" s="15"/>
      <c r="AX282" s="15"/>
      <c r="AY282" s="15"/>
      <c r="AZ282" s="15"/>
      <c r="BA282" s="15"/>
      <c r="BC282" s="15"/>
      <c r="BF282" s="15"/>
      <c r="BG282" s="15"/>
    </row>
    <row r="283" spans="1:59" ht="14.25" customHeight="1" x14ac:dyDescent="0.3">
      <c r="A283" s="15"/>
      <c r="B283" s="15"/>
      <c r="C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S283" s="15"/>
      <c r="AT283" s="15"/>
      <c r="AU283" s="15"/>
      <c r="AV283" s="15"/>
      <c r="AX283" s="15"/>
      <c r="AY283" s="15"/>
      <c r="AZ283" s="15"/>
      <c r="BA283" s="15"/>
      <c r="BC283" s="15"/>
      <c r="BF283" s="15"/>
      <c r="BG283" s="15"/>
    </row>
    <row r="284" spans="1:59" ht="14.25" customHeight="1" x14ac:dyDescent="0.3">
      <c r="A284" s="15"/>
      <c r="B284" s="15"/>
      <c r="C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S284" s="15"/>
      <c r="AT284" s="15"/>
      <c r="AU284" s="15"/>
      <c r="AV284" s="15"/>
      <c r="AX284" s="15"/>
      <c r="AY284" s="15"/>
      <c r="AZ284" s="15"/>
      <c r="BA284" s="15"/>
      <c r="BC284" s="15"/>
      <c r="BF284" s="15"/>
      <c r="BG284" s="15"/>
    </row>
    <row r="285" spans="1:59" ht="14.25" customHeight="1" x14ac:dyDescent="0.3">
      <c r="A285" s="15"/>
      <c r="B285" s="15"/>
      <c r="C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S285" s="15"/>
      <c r="AT285" s="15"/>
      <c r="AU285" s="15"/>
      <c r="AV285" s="15"/>
      <c r="AX285" s="15"/>
      <c r="AY285" s="15"/>
      <c r="AZ285" s="15"/>
      <c r="BA285" s="15"/>
      <c r="BC285" s="15"/>
      <c r="BF285" s="15"/>
      <c r="BG285" s="15"/>
    </row>
    <row r="286" spans="1:59" ht="14.25" customHeight="1" x14ac:dyDescent="0.3">
      <c r="A286" s="15"/>
      <c r="B286" s="15"/>
      <c r="C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S286" s="15"/>
      <c r="AT286" s="15"/>
      <c r="AU286" s="15"/>
      <c r="AV286" s="15"/>
      <c r="AX286" s="15"/>
      <c r="AY286" s="15"/>
      <c r="AZ286" s="15"/>
      <c r="BA286" s="15"/>
      <c r="BC286" s="15"/>
      <c r="BF286" s="15"/>
      <c r="BG286" s="15"/>
    </row>
    <row r="287" spans="1:59" ht="14.25" customHeight="1" x14ac:dyDescent="0.3">
      <c r="A287" s="15"/>
      <c r="B287" s="15"/>
      <c r="C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S287" s="15"/>
      <c r="AT287" s="15"/>
      <c r="AU287" s="15"/>
      <c r="AV287" s="15"/>
      <c r="AX287" s="15"/>
      <c r="AY287" s="15"/>
      <c r="AZ287" s="15"/>
      <c r="BA287" s="15"/>
      <c r="BC287" s="15"/>
      <c r="BF287" s="15"/>
      <c r="BG287" s="15"/>
    </row>
    <row r="288" spans="1:59" ht="14.25" customHeight="1" x14ac:dyDescent="0.3">
      <c r="A288" s="15"/>
      <c r="B288" s="15"/>
      <c r="C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S288" s="15"/>
      <c r="AT288" s="15"/>
      <c r="AU288" s="15"/>
      <c r="AV288" s="15"/>
      <c r="AX288" s="15"/>
      <c r="AY288" s="15"/>
      <c r="AZ288" s="15"/>
      <c r="BA288" s="15"/>
      <c r="BC288" s="15"/>
      <c r="BF288" s="15"/>
      <c r="BG288" s="15"/>
    </row>
    <row r="289" spans="1:59" ht="14.25" customHeight="1" x14ac:dyDescent="0.3">
      <c r="A289" s="15"/>
      <c r="B289" s="15"/>
      <c r="C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S289" s="15"/>
      <c r="AT289" s="15"/>
      <c r="AU289" s="15"/>
      <c r="AV289" s="15"/>
      <c r="AX289" s="15"/>
      <c r="AY289" s="15"/>
      <c r="AZ289" s="15"/>
      <c r="BA289" s="15"/>
      <c r="BC289" s="15"/>
      <c r="BF289" s="15"/>
      <c r="BG289" s="15"/>
    </row>
    <row r="290" spans="1:59" ht="14.25" customHeight="1" x14ac:dyDescent="0.3">
      <c r="A290" s="15"/>
      <c r="B290" s="15"/>
      <c r="C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S290" s="15"/>
      <c r="AT290" s="15"/>
      <c r="AU290" s="15"/>
      <c r="AV290" s="15"/>
      <c r="AX290" s="15"/>
      <c r="AY290" s="15"/>
      <c r="AZ290" s="15"/>
      <c r="BA290" s="15"/>
      <c r="BC290" s="15"/>
      <c r="BF290" s="15"/>
      <c r="BG290" s="15"/>
    </row>
    <row r="291" spans="1:59" ht="14.25" customHeight="1" x14ac:dyDescent="0.3">
      <c r="A291" s="15"/>
      <c r="B291" s="15"/>
      <c r="C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S291" s="15"/>
      <c r="AT291" s="15"/>
      <c r="AU291" s="15"/>
      <c r="AV291" s="15"/>
      <c r="AX291" s="15"/>
      <c r="AY291" s="15"/>
      <c r="AZ291" s="15"/>
      <c r="BA291" s="15"/>
      <c r="BC291" s="15"/>
      <c r="BF291" s="15"/>
      <c r="BG291" s="15"/>
    </row>
    <row r="292" spans="1:59" ht="14.25" customHeight="1" x14ac:dyDescent="0.3">
      <c r="A292" s="15"/>
      <c r="B292" s="15"/>
      <c r="C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S292" s="15"/>
      <c r="AT292" s="15"/>
      <c r="AU292" s="15"/>
      <c r="AV292" s="15"/>
      <c r="AX292" s="15"/>
      <c r="AY292" s="15"/>
      <c r="AZ292" s="15"/>
      <c r="BA292" s="15"/>
      <c r="BC292" s="15"/>
      <c r="BF292" s="15"/>
      <c r="BG292" s="15"/>
    </row>
    <row r="293" spans="1:59" ht="14.25" customHeight="1" x14ac:dyDescent="0.3">
      <c r="A293" s="15"/>
      <c r="B293" s="15"/>
      <c r="C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S293" s="15"/>
      <c r="AT293" s="15"/>
      <c r="AU293" s="15"/>
      <c r="AV293" s="15"/>
      <c r="AX293" s="15"/>
      <c r="AY293" s="15"/>
      <c r="AZ293" s="15"/>
      <c r="BA293" s="15"/>
      <c r="BC293" s="15"/>
      <c r="BF293" s="15"/>
      <c r="BG293" s="15"/>
    </row>
    <row r="294" spans="1:59" ht="14.25" customHeight="1" x14ac:dyDescent="0.3">
      <c r="A294" s="15"/>
      <c r="B294" s="15"/>
      <c r="C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S294" s="15"/>
      <c r="AT294" s="15"/>
      <c r="AU294" s="15"/>
      <c r="AV294" s="15"/>
      <c r="AX294" s="15"/>
      <c r="AY294" s="15"/>
      <c r="AZ294" s="15"/>
      <c r="BA294" s="15"/>
      <c r="BC294" s="15"/>
      <c r="BF294" s="15"/>
      <c r="BG294" s="15"/>
    </row>
    <row r="295" spans="1:59" ht="14.25" customHeight="1" x14ac:dyDescent="0.3">
      <c r="A295" s="15"/>
      <c r="B295" s="15"/>
      <c r="C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S295" s="15"/>
      <c r="AT295" s="15"/>
      <c r="AU295" s="15"/>
      <c r="AV295" s="15"/>
      <c r="AX295" s="15"/>
      <c r="AY295" s="15"/>
      <c r="AZ295" s="15"/>
      <c r="BA295" s="15"/>
      <c r="BC295" s="15"/>
      <c r="BF295" s="15"/>
      <c r="BG295" s="15"/>
    </row>
    <row r="296" spans="1:59" ht="14.25" customHeight="1" x14ac:dyDescent="0.3">
      <c r="A296" s="15"/>
      <c r="B296" s="15"/>
      <c r="C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S296" s="15"/>
      <c r="AT296" s="15"/>
      <c r="AU296" s="15"/>
      <c r="AV296" s="15"/>
      <c r="AX296" s="15"/>
      <c r="AY296" s="15"/>
      <c r="AZ296" s="15"/>
      <c r="BA296" s="15"/>
      <c r="BC296" s="15"/>
      <c r="BF296" s="15"/>
      <c r="BG296" s="15"/>
    </row>
    <row r="297" spans="1:59" ht="14.25" customHeight="1" x14ac:dyDescent="0.3">
      <c r="A297" s="15"/>
      <c r="B297" s="15"/>
      <c r="C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S297" s="15"/>
      <c r="AT297" s="15"/>
      <c r="AU297" s="15"/>
      <c r="AV297" s="15"/>
      <c r="AX297" s="15"/>
      <c r="AY297" s="15"/>
      <c r="AZ297" s="15"/>
      <c r="BA297" s="15"/>
      <c r="BC297" s="15"/>
      <c r="BF297" s="15"/>
      <c r="BG297" s="15"/>
    </row>
    <row r="298" spans="1:59" ht="14.25" customHeight="1" x14ac:dyDescent="0.3">
      <c r="A298" s="15"/>
      <c r="B298" s="15"/>
      <c r="C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S298" s="15"/>
      <c r="AT298" s="15"/>
      <c r="AU298" s="15"/>
      <c r="AV298" s="15"/>
      <c r="AX298" s="15"/>
      <c r="AY298" s="15"/>
      <c r="AZ298" s="15"/>
      <c r="BA298" s="15"/>
      <c r="BC298" s="15"/>
      <c r="BF298" s="15"/>
      <c r="BG298" s="15"/>
    </row>
    <row r="299" spans="1:59" ht="14.25" customHeight="1" x14ac:dyDescent="0.3">
      <c r="A299" s="15"/>
      <c r="B299" s="15"/>
      <c r="C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S299" s="15"/>
      <c r="AT299" s="15"/>
      <c r="AU299" s="15"/>
      <c r="AV299" s="15"/>
      <c r="AX299" s="15"/>
      <c r="AY299" s="15"/>
      <c r="AZ299" s="15"/>
      <c r="BA299" s="15"/>
      <c r="BC299" s="15"/>
      <c r="BF299" s="15"/>
      <c r="BG299" s="15"/>
    </row>
    <row r="300" spans="1:59" ht="14.25" customHeight="1" x14ac:dyDescent="0.3">
      <c r="A300" s="15"/>
      <c r="B300" s="15"/>
      <c r="C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S300" s="15"/>
      <c r="AT300" s="15"/>
      <c r="AU300" s="15"/>
      <c r="AV300" s="15"/>
      <c r="AX300" s="15"/>
      <c r="AY300" s="15"/>
      <c r="AZ300" s="15"/>
      <c r="BA300" s="15"/>
      <c r="BC300" s="15"/>
      <c r="BF300" s="15"/>
      <c r="BG300" s="15"/>
    </row>
    <row r="301" spans="1:59" ht="14.25" customHeight="1" x14ac:dyDescent="0.3">
      <c r="A301" s="15"/>
      <c r="B301" s="15"/>
      <c r="C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S301" s="15"/>
      <c r="AT301" s="15"/>
      <c r="AU301" s="15"/>
      <c r="AV301" s="15"/>
      <c r="AX301" s="15"/>
      <c r="AY301" s="15"/>
      <c r="AZ301" s="15"/>
      <c r="BA301" s="15"/>
      <c r="BC301" s="15"/>
      <c r="BF301" s="15"/>
      <c r="BG301" s="15"/>
    </row>
    <row r="302" spans="1:59" ht="14.25" customHeight="1" x14ac:dyDescent="0.3">
      <c r="A302" s="15"/>
      <c r="B302" s="15"/>
      <c r="C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S302" s="15"/>
      <c r="AT302" s="15"/>
      <c r="AU302" s="15"/>
      <c r="AV302" s="15"/>
      <c r="AX302" s="15"/>
      <c r="AY302" s="15"/>
      <c r="AZ302" s="15"/>
      <c r="BA302" s="15"/>
      <c r="BC302" s="15"/>
      <c r="BF302" s="15"/>
      <c r="BG302" s="15"/>
    </row>
    <row r="303" spans="1:59" ht="14.25" customHeight="1" x14ac:dyDescent="0.3">
      <c r="A303" s="15"/>
      <c r="B303" s="15"/>
      <c r="C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S303" s="15"/>
      <c r="AT303" s="15"/>
      <c r="AU303" s="15"/>
      <c r="AV303" s="15"/>
      <c r="AX303" s="15"/>
      <c r="AY303" s="15"/>
      <c r="AZ303" s="15"/>
      <c r="BA303" s="15"/>
      <c r="BC303" s="15"/>
      <c r="BF303" s="15"/>
      <c r="BG303" s="15"/>
    </row>
    <row r="304" spans="1:59" ht="14.25" customHeight="1" x14ac:dyDescent="0.3">
      <c r="A304" s="15"/>
      <c r="B304" s="15"/>
      <c r="C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S304" s="15"/>
      <c r="AT304" s="15"/>
      <c r="AU304" s="15"/>
      <c r="AV304" s="15"/>
      <c r="AX304" s="15"/>
      <c r="AY304" s="15"/>
      <c r="AZ304" s="15"/>
      <c r="BA304" s="15"/>
      <c r="BC304" s="15"/>
      <c r="BF304" s="15"/>
      <c r="BG304" s="15"/>
    </row>
    <row r="305" spans="1:59" ht="14.25" customHeight="1" x14ac:dyDescent="0.3">
      <c r="A305" s="15"/>
      <c r="B305" s="15"/>
      <c r="C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S305" s="15"/>
      <c r="AT305" s="15"/>
      <c r="AU305" s="15"/>
      <c r="AV305" s="15"/>
      <c r="AX305" s="15"/>
      <c r="AY305" s="15"/>
      <c r="AZ305" s="15"/>
      <c r="BA305" s="15"/>
      <c r="BC305" s="15"/>
      <c r="BF305" s="15"/>
      <c r="BG305" s="15"/>
    </row>
    <row r="306" spans="1:59" ht="14.25" customHeight="1" x14ac:dyDescent="0.3">
      <c r="A306" s="15"/>
      <c r="B306" s="15"/>
      <c r="C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S306" s="15"/>
      <c r="AT306" s="15"/>
      <c r="AU306" s="15"/>
      <c r="AV306" s="15"/>
      <c r="AX306" s="15"/>
      <c r="AY306" s="15"/>
      <c r="AZ306" s="15"/>
      <c r="BA306" s="15"/>
      <c r="BC306" s="15"/>
      <c r="BF306" s="15"/>
      <c r="BG306" s="15"/>
    </row>
    <row r="307" spans="1:59" ht="14.25" customHeight="1" x14ac:dyDescent="0.3">
      <c r="A307" s="15"/>
      <c r="B307" s="15"/>
      <c r="C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S307" s="15"/>
      <c r="AT307" s="15"/>
      <c r="AU307" s="15"/>
      <c r="AV307" s="15"/>
      <c r="AX307" s="15"/>
      <c r="AY307" s="15"/>
      <c r="AZ307" s="15"/>
      <c r="BA307" s="15"/>
      <c r="BC307" s="15"/>
      <c r="BF307" s="15"/>
      <c r="BG307" s="15"/>
    </row>
    <row r="308" spans="1:59" ht="14.25" customHeight="1" x14ac:dyDescent="0.3">
      <c r="A308" s="15"/>
      <c r="B308" s="15"/>
      <c r="C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S308" s="15"/>
      <c r="AT308" s="15"/>
      <c r="AU308" s="15"/>
      <c r="AV308" s="15"/>
      <c r="AX308" s="15"/>
      <c r="AY308" s="15"/>
      <c r="AZ308" s="15"/>
      <c r="BA308" s="15"/>
      <c r="BC308" s="15"/>
      <c r="BF308" s="15"/>
      <c r="BG308" s="15"/>
    </row>
    <row r="309" spans="1:59" ht="14.25" customHeight="1" x14ac:dyDescent="0.3">
      <c r="A309" s="15"/>
      <c r="B309" s="15"/>
      <c r="C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S309" s="15"/>
      <c r="AT309" s="15"/>
      <c r="AU309" s="15"/>
      <c r="AV309" s="15"/>
      <c r="AX309" s="15"/>
      <c r="AY309" s="15"/>
      <c r="AZ309" s="15"/>
      <c r="BA309" s="15"/>
      <c r="BC309" s="15"/>
      <c r="BF309" s="15"/>
      <c r="BG309" s="15"/>
    </row>
    <row r="310" spans="1:59" ht="14.25" customHeight="1" x14ac:dyDescent="0.3">
      <c r="A310" s="15"/>
      <c r="B310" s="15"/>
      <c r="C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S310" s="15"/>
      <c r="AT310" s="15"/>
      <c r="AU310" s="15"/>
      <c r="AV310" s="15"/>
      <c r="AX310" s="15"/>
      <c r="AY310" s="15"/>
      <c r="AZ310" s="15"/>
      <c r="BA310" s="15"/>
      <c r="BC310" s="15"/>
      <c r="BF310" s="15"/>
      <c r="BG310" s="15"/>
    </row>
    <row r="311" spans="1:59" ht="14.25" customHeight="1" x14ac:dyDescent="0.3">
      <c r="A311" s="15"/>
      <c r="B311" s="15"/>
      <c r="C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S311" s="15"/>
      <c r="AT311" s="15"/>
      <c r="AU311" s="15"/>
      <c r="AV311" s="15"/>
      <c r="AX311" s="15"/>
      <c r="AY311" s="15"/>
      <c r="AZ311" s="15"/>
      <c r="BA311" s="15"/>
      <c r="BC311" s="15"/>
      <c r="BF311" s="15"/>
      <c r="BG311" s="15"/>
    </row>
    <row r="312" spans="1:59" ht="14.25" customHeight="1" x14ac:dyDescent="0.3">
      <c r="A312" s="15"/>
      <c r="B312" s="15"/>
      <c r="C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S312" s="15"/>
      <c r="AT312" s="15"/>
      <c r="AU312" s="15"/>
      <c r="AV312" s="15"/>
      <c r="AX312" s="15"/>
      <c r="AY312" s="15"/>
      <c r="AZ312" s="15"/>
      <c r="BA312" s="15"/>
      <c r="BC312" s="15"/>
      <c r="BF312" s="15"/>
      <c r="BG312" s="15"/>
    </row>
    <row r="313" spans="1:59" ht="14.25" customHeight="1" x14ac:dyDescent="0.3">
      <c r="A313" s="15"/>
      <c r="B313" s="15"/>
      <c r="C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S313" s="15"/>
      <c r="AT313" s="15"/>
      <c r="AU313" s="15"/>
      <c r="AV313" s="15"/>
      <c r="AX313" s="15"/>
      <c r="AY313" s="15"/>
      <c r="AZ313" s="15"/>
      <c r="BA313" s="15"/>
      <c r="BC313" s="15"/>
      <c r="BF313" s="15"/>
      <c r="BG313" s="15"/>
    </row>
    <row r="314" spans="1:59" ht="14.25" customHeight="1" x14ac:dyDescent="0.3">
      <c r="A314" s="15"/>
      <c r="B314" s="15"/>
      <c r="C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S314" s="15"/>
      <c r="AT314" s="15"/>
      <c r="AU314" s="15"/>
      <c r="AV314" s="15"/>
      <c r="AX314" s="15"/>
      <c r="AY314" s="15"/>
      <c r="AZ314" s="15"/>
      <c r="BA314" s="15"/>
      <c r="BC314" s="15"/>
      <c r="BF314" s="15"/>
      <c r="BG314" s="15"/>
    </row>
    <row r="315" spans="1:59" ht="14.25" customHeight="1" x14ac:dyDescent="0.3">
      <c r="A315" s="15"/>
      <c r="B315" s="15"/>
      <c r="C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S315" s="15"/>
      <c r="AT315" s="15"/>
      <c r="AU315" s="15"/>
      <c r="AV315" s="15"/>
      <c r="AX315" s="15"/>
      <c r="AY315" s="15"/>
      <c r="AZ315" s="15"/>
      <c r="BA315" s="15"/>
      <c r="BC315" s="15"/>
      <c r="BF315" s="15"/>
      <c r="BG315" s="15"/>
    </row>
    <row r="316" spans="1:59" ht="14.25" customHeight="1" x14ac:dyDescent="0.3">
      <c r="A316" s="15"/>
      <c r="B316" s="15"/>
      <c r="C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S316" s="15"/>
      <c r="AT316" s="15"/>
      <c r="AU316" s="15"/>
      <c r="AV316" s="15"/>
      <c r="AX316" s="15"/>
      <c r="AY316" s="15"/>
      <c r="AZ316" s="15"/>
      <c r="BA316" s="15"/>
      <c r="BC316" s="15"/>
      <c r="BF316" s="15"/>
      <c r="BG316" s="15"/>
    </row>
    <row r="317" spans="1:59" ht="14.25" customHeight="1" x14ac:dyDescent="0.3">
      <c r="A317" s="15"/>
      <c r="B317" s="15"/>
      <c r="C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S317" s="15"/>
      <c r="AT317" s="15"/>
      <c r="AU317" s="15"/>
      <c r="AV317" s="15"/>
      <c r="AX317" s="15"/>
      <c r="AY317" s="15"/>
      <c r="AZ317" s="15"/>
      <c r="BA317" s="15"/>
      <c r="BC317" s="15"/>
      <c r="BF317" s="15"/>
      <c r="BG317" s="15"/>
    </row>
    <row r="318" spans="1:59" ht="14.25" customHeight="1" x14ac:dyDescent="0.3">
      <c r="A318" s="15"/>
      <c r="B318" s="15"/>
      <c r="C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S318" s="15"/>
      <c r="AT318" s="15"/>
      <c r="AU318" s="15"/>
      <c r="AV318" s="15"/>
      <c r="AX318" s="15"/>
      <c r="AY318" s="15"/>
      <c r="AZ318" s="15"/>
      <c r="BA318" s="15"/>
      <c r="BC318" s="15"/>
      <c r="BF318" s="15"/>
      <c r="BG318" s="15"/>
    </row>
    <row r="319" spans="1:59" ht="14.25" customHeight="1" x14ac:dyDescent="0.3">
      <c r="A319" s="15"/>
      <c r="B319" s="15"/>
      <c r="C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S319" s="15"/>
      <c r="AT319" s="15"/>
      <c r="AU319" s="15"/>
      <c r="AV319" s="15"/>
      <c r="AX319" s="15"/>
      <c r="AY319" s="15"/>
      <c r="AZ319" s="15"/>
      <c r="BA319" s="15"/>
      <c r="BC319" s="15"/>
      <c r="BF319" s="15"/>
      <c r="BG319" s="15"/>
    </row>
    <row r="320" spans="1:59" ht="14.25" customHeight="1" x14ac:dyDescent="0.3">
      <c r="A320" s="15"/>
      <c r="B320" s="15"/>
      <c r="C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S320" s="15"/>
      <c r="AT320" s="15"/>
      <c r="AU320" s="15"/>
      <c r="AV320" s="15"/>
      <c r="AX320" s="15"/>
      <c r="AY320" s="15"/>
      <c r="AZ320" s="15"/>
      <c r="BA320" s="15"/>
      <c r="BC320" s="15"/>
      <c r="BF320" s="15"/>
      <c r="BG320" s="15"/>
    </row>
    <row r="321" spans="1:59" ht="14.25" customHeight="1" x14ac:dyDescent="0.3">
      <c r="A321" s="15"/>
      <c r="B321" s="15"/>
      <c r="C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S321" s="15"/>
      <c r="AT321" s="15"/>
      <c r="AU321" s="15"/>
      <c r="AV321" s="15"/>
      <c r="AX321" s="15"/>
      <c r="AY321" s="15"/>
      <c r="AZ321" s="15"/>
      <c r="BA321" s="15"/>
      <c r="BC321" s="15"/>
      <c r="BF321" s="15"/>
      <c r="BG321" s="15"/>
    </row>
    <row r="322" spans="1:59" ht="14.25" customHeight="1" x14ac:dyDescent="0.3">
      <c r="A322" s="15"/>
      <c r="B322" s="15"/>
      <c r="C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S322" s="15"/>
      <c r="AT322" s="15"/>
      <c r="AU322" s="15"/>
      <c r="AV322" s="15"/>
      <c r="AX322" s="15"/>
      <c r="AY322" s="15"/>
      <c r="AZ322" s="15"/>
      <c r="BA322" s="15"/>
      <c r="BC322" s="15"/>
      <c r="BF322" s="15"/>
      <c r="BG322" s="15"/>
    </row>
    <row r="323" spans="1:59" ht="14.25" customHeight="1" x14ac:dyDescent="0.3">
      <c r="A323" s="15"/>
      <c r="B323" s="15"/>
      <c r="C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S323" s="15"/>
      <c r="AT323" s="15"/>
      <c r="AU323" s="15"/>
      <c r="AV323" s="15"/>
      <c r="AX323" s="15"/>
      <c r="AY323" s="15"/>
      <c r="AZ323" s="15"/>
      <c r="BA323" s="15"/>
      <c r="BC323" s="15"/>
      <c r="BF323" s="15"/>
      <c r="BG323" s="15"/>
    </row>
    <row r="324" spans="1:59" ht="14.25" customHeight="1" x14ac:dyDescent="0.3">
      <c r="A324" s="15"/>
      <c r="B324" s="15"/>
      <c r="C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S324" s="15"/>
      <c r="AT324" s="15"/>
      <c r="AU324" s="15"/>
      <c r="AV324" s="15"/>
      <c r="AX324" s="15"/>
      <c r="AY324" s="15"/>
      <c r="AZ324" s="15"/>
      <c r="BA324" s="15"/>
      <c r="BC324" s="15"/>
      <c r="BF324" s="15"/>
      <c r="BG324" s="15"/>
    </row>
    <row r="325" spans="1:59" ht="14.25" customHeight="1" x14ac:dyDescent="0.3">
      <c r="A325" s="15"/>
      <c r="B325" s="15"/>
      <c r="C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S325" s="15"/>
      <c r="AT325" s="15"/>
      <c r="AU325" s="15"/>
      <c r="AV325" s="15"/>
      <c r="AX325" s="15"/>
      <c r="AY325" s="15"/>
      <c r="AZ325" s="15"/>
      <c r="BA325" s="15"/>
      <c r="BC325" s="15"/>
      <c r="BF325" s="15"/>
      <c r="BG325" s="15"/>
    </row>
    <row r="326" spans="1:59" ht="14.25" customHeight="1" x14ac:dyDescent="0.3">
      <c r="A326" s="15"/>
      <c r="B326" s="15"/>
      <c r="C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S326" s="15"/>
      <c r="AT326" s="15"/>
      <c r="AU326" s="15"/>
      <c r="AV326" s="15"/>
      <c r="AX326" s="15"/>
      <c r="AY326" s="15"/>
      <c r="AZ326" s="15"/>
      <c r="BA326" s="15"/>
      <c r="BC326" s="15"/>
      <c r="BF326" s="15"/>
      <c r="BG326" s="15"/>
    </row>
    <row r="327" spans="1:59" ht="14.25" customHeight="1" x14ac:dyDescent="0.3">
      <c r="A327" s="15"/>
      <c r="B327" s="15"/>
      <c r="C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S327" s="15"/>
      <c r="AT327" s="15"/>
      <c r="AU327" s="15"/>
      <c r="AV327" s="15"/>
      <c r="AX327" s="15"/>
      <c r="AY327" s="15"/>
      <c r="AZ327" s="15"/>
      <c r="BA327" s="15"/>
      <c r="BC327" s="15"/>
      <c r="BF327" s="15"/>
      <c r="BG327" s="15"/>
    </row>
    <row r="328" spans="1:59" ht="14.25" customHeight="1" x14ac:dyDescent="0.3">
      <c r="A328" s="15"/>
      <c r="B328" s="15"/>
      <c r="C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S328" s="15"/>
      <c r="AT328" s="15"/>
      <c r="AU328" s="15"/>
      <c r="AV328" s="15"/>
      <c r="AX328" s="15"/>
      <c r="AY328" s="15"/>
      <c r="AZ328" s="15"/>
      <c r="BA328" s="15"/>
      <c r="BC328" s="15"/>
      <c r="BF328" s="15"/>
      <c r="BG328" s="15"/>
    </row>
    <row r="329" spans="1:59" ht="14.25" customHeight="1" x14ac:dyDescent="0.3">
      <c r="A329" s="15"/>
      <c r="B329" s="15"/>
      <c r="C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S329" s="15"/>
      <c r="AT329" s="15"/>
      <c r="AU329" s="15"/>
      <c r="AV329" s="15"/>
      <c r="AX329" s="15"/>
      <c r="AY329" s="15"/>
      <c r="AZ329" s="15"/>
      <c r="BA329" s="15"/>
      <c r="BC329" s="15"/>
      <c r="BF329" s="15"/>
      <c r="BG329" s="15"/>
    </row>
    <row r="330" spans="1:59" ht="14.25" customHeight="1" x14ac:dyDescent="0.3">
      <c r="A330" s="15"/>
      <c r="B330" s="15"/>
      <c r="C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S330" s="15"/>
      <c r="AT330" s="15"/>
      <c r="AU330" s="15"/>
      <c r="AV330" s="15"/>
      <c r="AX330" s="15"/>
      <c r="AY330" s="15"/>
      <c r="AZ330" s="15"/>
      <c r="BA330" s="15"/>
      <c r="BC330" s="15"/>
      <c r="BF330" s="15"/>
      <c r="BG330" s="15"/>
    </row>
    <row r="331" spans="1:59" ht="14.25" customHeight="1" x14ac:dyDescent="0.3">
      <c r="A331" s="15"/>
      <c r="B331" s="15"/>
      <c r="C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S331" s="15"/>
      <c r="AT331" s="15"/>
      <c r="AU331" s="15"/>
      <c r="AV331" s="15"/>
      <c r="AX331" s="15"/>
      <c r="AY331" s="15"/>
      <c r="AZ331" s="15"/>
      <c r="BA331" s="15"/>
      <c r="BC331" s="15"/>
      <c r="BF331" s="15"/>
      <c r="BG331" s="15"/>
    </row>
    <row r="332" spans="1:59" ht="14.25" customHeight="1" x14ac:dyDescent="0.3">
      <c r="A332" s="15"/>
      <c r="B332" s="15"/>
      <c r="C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S332" s="15"/>
      <c r="AT332" s="15"/>
      <c r="AU332" s="15"/>
      <c r="AV332" s="15"/>
      <c r="AX332" s="15"/>
      <c r="AY332" s="15"/>
      <c r="AZ332" s="15"/>
      <c r="BA332" s="15"/>
      <c r="BC332" s="15"/>
      <c r="BF332" s="15"/>
      <c r="BG332" s="15"/>
    </row>
    <row r="333" spans="1:59" ht="14.25" customHeight="1" x14ac:dyDescent="0.3">
      <c r="A333" s="15"/>
      <c r="B333" s="15"/>
      <c r="C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S333" s="15"/>
      <c r="AT333" s="15"/>
      <c r="AU333" s="15"/>
      <c r="AV333" s="15"/>
      <c r="AX333" s="15"/>
      <c r="AY333" s="15"/>
      <c r="AZ333" s="15"/>
      <c r="BA333" s="15"/>
      <c r="BC333" s="15"/>
      <c r="BF333" s="15"/>
      <c r="BG333" s="15"/>
    </row>
    <row r="334" spans="1:59" ht="14.25" customHeight="1" x14ac:dyDescent="0.3">
      <c r="A334" s="15"/>
      <c r="B334" s="15"/>
      <c r="C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S334" s="15"/>
      <c r="AT334" s="15"/>
      <c r="AU334" s="15"/>
      <c r="AV334" s="15"/>
      <c r="AX334" s="15"/>
      <c r="AY334" s="15"/>
      <c r="AZ334" s="15"/>
      <c r="BA334" s="15"/>
      <c r="BC334" s="15"/>
      <c r="BF334" s="15"/>
      <c r="BG334" s="15"/>
    </row>
    <row r="335" spans="1:59" ht="14.25" customHeight="1" x14ac:dyDescent="0.3">
      <c r="A335" s="15"/>
      <c r="B335" s="15"/>
      <c r="C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S335" s="15"/>
      <c r="AT335" s="15"/>
      <c r="AU335" s="15"/>
      <c r="AV335" s="15"/>
      <c r="AX335" s="15"/>
      <c r="AY335" s="15"/>
      <c r="AZ335" s="15"/>
      <c r="BA335" s="15"/>
      <c r="BC335" s="15"/>
      <c r="BF335" s="15"/>
      <c r="BG335" s="15"/>
    </row>
    <row r="336" spans="1:59" ht="14.25" customHeight="1" x14ac:dyDescent="0.3">
      <c r="A336" s="15"/>
      <c r="B336" s="15"/>
      <c r="C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S336" s="15"/>
      <c r="AT336" s="15"/>
      <c r="AU336" s="15"/>
      <c r="AV336" s="15"/>
      <c r="AX336" s="15"/>
      <c r="AY336" s="15"/>
      <c r="AZ336" s="15"/>
      <c r="BA336" s="15"/>
      <c r="BC336" s="15"/>
      <c r="BF336" s="15"/>
      <c r="BG336" s="15"/>
    </row>
    <row r="337" spans="1:59" ht="14.25" customHeight="1" x14ac:dyDescent="0.3">
      <c r="A337" s="15"/>
      <c r="B337" s="15"/>
      <c r="C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S337" s="15"/>
      <c r="AT337" s="15"/>
      <c r="AU337" s="15"/>
      <c r="AV337" s="15"/>
      <c r="AX337" s="15"/>
      <c r="AY337" s="15"/>
      <c r="AZ337" s="15"/>
      <c r="BA337" s="15"/>
      <c r="BC337" s="15"/>
      <c r="BF337" s="15"/>
      <c r="BG337" s="15"/>
    </row>
    <row r="338" spans="1:59" ht="14.25" customHeight="1" x14ac:dyDescent="0.3">
      <c r="A338" s="15"/>
      <c r="B338" s="15"/>
      <c r="C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S338" s="15"/>
      <c r="AT338" s="15"/>
      <c r="AU338" s="15"/>
      <c r="AV338" s="15"/>
      <c r="AX338" s="15"/>
      <c r="AY338" s="15"/>
      <c r="AZ338" s="15"/>
      <c r="BA338" s="15"/>
      <c r="BC338" s="15"/>
      <c r="BF338" s="15"/>
      <c r="BG338" s="15"/>
    </row>
    <row r="339" spans="1:59" ht="14.25" customHeight="1" x14ac:dyDescent="0.3">
      <c r="A339" s="15"/>
      <c r="B339" s="15"/>
      <c r="C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S339" s="15"/>
      <c r="AT339" s="15"/>
      <c r="AU339" s="15"/>
      <c r="AV339" s="15"/>
      <c r="AX339" s="15"/>
      <c r="AY339" s="15"/>
      <c r="AZ339" s="15"/>
      <c r="BA339" s="15"/>
      <c r="BC339" s="15"/>
      <c r="BF339" s="15"/>
      <c r="BG339" s="15"/>
    </row>
    <row r="340" spans="1:59" ht="14.25" customHeight="1" x14ac:dyDescent="0.3">
      <c r="A340" s="15"/>
      <c r="B340" s="15"/>
      <c r="C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S340" s="15"/>
      <c r="AT340" s="15"/>
      <c r="AU340" s="15"/>
      <c r="AV340" s="15"/>
      <c r="AX340" s="15"/>
      <c r="AY340" s="15"/>
      <c r="AZ340" s="15"/>
      <c r="BA340" s="15"/>
      <c r="BC340" s="15"/>
      <c r="BF340" s="15"/>
      <c r="BG340" s="15"/>
    </row>
    <row r="341" spans="1:59" ht="14.25" customHeight="1" x14ac:dyDescent="0.3">
      <c r="A341" s="15"/>
      <c r="B341" s="15"/>
      <c r="C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S341" s="15"/>
      <c r="AT341" s="15"/>
      <c r="AU341" s="15"/>
      <c r="AV341" s="15"/>
      <c r="AX341" s="15"/>
      <c r="AY341" s="15"/>
      <c r="AZ341" s="15"/>
      <c r="BA341" s="15"/>
      <c r="BC341" s="15"/>
      <c r="BF341" s="15"/>
      <c r="BG341" s="15"/>
    </row>
    <row r="342" spans="1:59" ht="14.25" customHeight="1" x14ac:dyDescent="0.3">
      <c r="A342" s="15"/>
      <c r="B342" s="15"/>
      <c r="C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S342" s="15"/>
      <c r="AT342" s="15"/>
      <c r="AU342" s="15"/>
      <c r="AV342" s="15"/>
      <c r="AX342" s="15"/>
      <c r="AY342" s="15"/>
      <c r="AZ342" s="15"/>
      <c r="BA342" s="15"/>
      <c r="BC342" s="15"/>
      <c r="BF342" s="15"/>
      <c r="BG342" s="15"/>
    </row>
    <row r="343" spans="1:59" ht="14.25" customHeight="1" x14ac:dyDescent="0.3">
      <c r="A343" s="15"/>
      <c r="B343" s="15"/>
      <c r="C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S343" s="15"/>
      <c r="AT343" s="15"/>
      <c r="AU343" s="15"/>
      <c r="AV343" s="15"/>
      <c r="AX343" s="15"/>
      <c r="AY343" s="15"/>
      <c r="AZ343" s="15"/>
      <c r="BA343" s="15"/>
      <c r="BC343" s="15"/>
      <c r="BF343" s="15"/>
      <c r="BG343" s="15"/>
    </row>
    <row r="344" spans="1:59" ht="14.25" customHeight="1" x14ac:dyDescent="0.3">
      <c r="A344" s="15"/>
      <c r="B344" s="15"/>
      <c r="C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S344" s="15"/>
      <c r="AT344" s="15"/>
      <c r="AU344" s="15"/>
      <c r="AV344" s="15"/>
      <c r="AX344" s="15"/>
      <c r="AY344" s="15"/>
      <c r="AZ344" s="15"/>
      <c r="BA344" s="15"/>
      <c r="BC344" s="15"/>
      <c r="BF344" s="15"/>
      <c r="BG344" s="15"/>
    </row>
    <row r="345" spans="1:59" ht="14.25" customHeight="1" x14ac:dyDescent="0.3">
      <c r="A345" s="15"/>
      <c r="B345" s="15"/>
      <c r="C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S345" s="15"/>
      <c r="AT345" s="15"/>
      <c r="AU345" s="15"/>
      <c r="AV345" s="15"/>
      <c r="AX345" s="15"/>
      <c r="AY345" s="15"/>
      <c r="AZ345" s="15"/>
      <c r="BA345" s="15"/>
      <c r="BC345" s="15"/>
      <c r="BF345" s="15"/>
      <c r="BG345" s="15"/>
    </row>
    <row r="346" spans="1:59" ht="14.25" customHeight="1" x14ac:dyDescent="0.3">
      <c r="A346" s="15"/>
      <c r="B346" s="15"/>
      <c r="C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S346" s="15"/>
      <c r="AT346" s="15"/>
      <c r="AU346" s="15"/>
      <c r="AV346" s="15"/>
      <c r="AX346" s="15"/>
      <c r="AY346" s="15"/>
      <c r="AZ346" s="15"/>
      <c r="BA346" s="15"/>
      <c r="BC346" s="15"/>
      <c r="BF346" s="15"/>
      <c r="BG346" s="15"/>
    </row>
    <row r="347" spans="1:59" ht="14.25" customHeight="1" x14ac:dyDescent="0.3">
      <c r="A347" s="15"/>
      <c r="B347" s="15"/>
      <c r="C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S347" s="15"/>
      <c r="AT347" s="15"/>
      <c r="AU347" s="15"/>
      <c r="AV347" s="15"/>
      <c r="AX347" s="15"/>
      <c r="AY347" s="15"/>
      <c r="AZ347" s="15"/>
      <c r="BA347" s="15"/>
      <c r="BC347" s="15"/>
      <c r="BF347" s="15"/>
      <c r="BG347" s="15"/>
    </row>
    <row r="348" spans="1:59" ht="14.25" customHeight="1" x14ac:dyDescent="0.3">
      <c r="A348" s="15"/>
      <c r="B348" s="15"/>
      <c r="C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S348" s="15"/>
      <c r="AT348" s="15"/>
      <c r="AU348" s="15"/>
      <c r="AV348" s="15"/>
      <c r="AX348" s="15"/>
      <c r="AY348" s="15"/>
      <c r="AZ348" s="15"/>
      <c r="BA348" s="15"/>
      <c r="BC348" s="15"/>
      <c r="BF348" s="15"/>
      <c r="BG348" s="15"/>
    </row>
    <row r="349" spans="1:59" ht="14.25" customHeight="1" x14ac:dyDescent="0.3">
      <c r="A349" s="15"/>
      <c r="B349" s="15"/>
      <c r="C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S349" s="15"/>
      <c r="AT349" s="15"/>
      <c r="AU349" s="15"/>
      <c r="AV349" s="15"/>
      <c r="AX349" s="15"/>
      <c r="AY349" s="15"/>
      <c r="AZ349" s="15"/>
      <c r="BA349" s="15"/>
      <c r="BC349" s="15"/>
      <c r="BF349" s="15"/>
      <c r="BG349" s="15"/>
    </row>
    <row r="350" spans="1:59" ht="14.25" customHeight="1" x14ac:dyDescent="0.3">
      <c r="A350" s="15"/>
      <c r="B350" s="15"/>
      <c r="C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S350" s="15"/>
      <c r="AT350" s="15"/>
      <c r="AU350" s="15"/>
      <c r="AV350" s="15"/>
      <c r="AX350" s="15"/>
      <c r="AY350" s="15"/>
      <c r="AZ350" s="15"/>
      <c r="BA350" s="15"/>
      <c r="BC350" s="15"/>
      <c r="BF350" s="15"/>
      <c r="BG350" s="15"/>
    </row>
    <row r="351" spans="1:59" ht="14.25" customHeight="1" x14ac:dyDescent="0.3">
      <c r="A351" s="15"/>
      <c r="B351" s="15"/>
      <c r="C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S351" s="15"/>
      <c r="AT351" s="15"/>
      <c r="AU351" s="15"/>
      <c r="AV351" s="15"/>
      <c r="AX351" s="15"/>
      <c r="AY351" s="15"/>
      <c r="AZ351" s="15"/>
      <c r="BA351" s="15"/>
      <c r="BC351" s="15"/>
      <c r="BF351" s="15"/>
      <c r="BG351" s="15"/>
    </row>
    <row r="352" spans="1:59" ht="14.25" customHeight="1" x14ac:dyDescent="0.3">
      <c r="A352" s="15"/>
      <c r="B352" s="15"/>
      <c r="C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S352" s="15"/>
      <c r="AT352" s="15"/>
      <c r="AU352" s="15"/>
      <c r="AV352" s="15"/>
      <c r="AX352" s="15"/>
      <c r="AY352" s="15"/>
      <c r="AZ352" s="15"/>
      <c r="BA352" s="15"/>
      <c r="BC352" s="15"/>
      <c r="BF352" s="15"/>
      <c r="BG352" s="15"/>
    </row>
    <row r="353" spans="1:59" ht="14.25" customHeight="1" x14ac:dyDescent="0.3">
      <c r="A353" s="15"/>
      <c r="B353" s="15"/>
      <c r="C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S353" s="15"/>
      <c r="AT353" s="15"/>
      <c r="AU353" s="15"/>
      <c r="AV353" s="15"/>
      <c r="AX353" s="15"/>
      <c r="AY353" s="15"/>
      <c r="AZ353" s="15"/>
      <c r="BA353" s="15"/>
      <c r="BC353" s="15"/>
      <c r="BF353" s="15"/>
      <c r="BG353" s="15"/>
    </row>
    <row r="354" spans="1:59" ht="14.25" customHeight="1" x14ac:dyDescent="0.3">
      <c r="A354" s="15"/>
      <c r="B354" s="15"/>
      <c r="C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S354" s="15"/>
      <c r="AT354" s="15"/>
      <c r="AU354" s="15"/>
      <c r="AV354" s="15"/>
      <c r="AX354" s="15"/>
      <c r="AY354" s="15"/>
      <c r="AZ354" s="15"/>
      <c r="BA354" s="15"/>
      <c r="BC354" s="15"/>
      <c r="BF354" s="15"/>
      <c r="BG354" s="15"/>
    </row>
    <row r="355" spans="1:59" ht="14.25" customHeight="1" x14ac:dyDescent="0.3">
      <c r="A355" s="15"/>
      <c r="B355" s="15"/>
      <c r="C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S355" s="15"/>
      <c r="AT355" s="15"/>
      <c r="AU355" s="15"/>
      <c r="AV355" s="15"/>
      <c r="AX355" s="15"/>
      <c r="AY355" s="15"/>
      <c r="AZ355" s="15"/>
      <c r="BA355" s="15"/>
      <c r="BC355" s="15"/>
      <c r="BF355" s="15"/>
      <c r="BG355" s="15"/>
    </row>
    <row r="356" spans="1:59" ht="14.25" customHeight="1" x14ac:dyDescent="0.3">
      <c r="A356" s="15"/>
      <c r="B356" s="15"/>
      <c r="C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S356" s="15"/>
      <c r="AT356" s="15"/>
      <c r="AU356" s="15"/>
      <c r="AV356" s="15"/>
      <c r="AX356" s="15"/>
      <c r="AY356" s="15"/>
      <c r="AZ356" s="15"/>
      <c r="BA356" s="15"/>
      <c r="BC356" s="15"/>
      <c r="BF356" s="15"/>
      <c r="BG356" s="15"/>
    </row>
    <row r="357" spans="1:59" ht="14.25" customHeight="1" x14ac:dyDescent="0.3">
      <c r="A357" s="15"/>
      <c r="B357" s="15"/>
      <c r="C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S357" s="15"/>
      <c r="AT357" s="15"/>
      <c r="AU357" s="15"/>
      <c r="AV357" s="15"/>
      <c r="AX357" s="15"/>
      <c r="AY357" s="15"/>
      <c r="AZ357" s="15"/>
      <c r="BA357" s="15"/>
      <c r="BC357" s="15"/>
      <c r="BF357" s="15"/>
      <c r="BG357" s="15"/>
    </row>
    <row r="358" spans="1:59" ht="14.25" customHeight="1" x14ac:dyDescent="0.3">
      <c r="A358" s="15"/>
      <c r="B358" s="15"/>
      <c r="C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S358" s="15"/>
      <c r="AT358" s="15"/>
      <c r="AU358" s="15"/>
      <c r="AV358" s="15"/>
      <c r="AX358" s="15"/>
      <c r="AY358" s="15"/>
      <c r="AZ358" s="15"/>
      <c r="BA358" s="15"/>
      <c r="BC358" s="15"/>
      <c r="BF358" s="15"/>
      <c r="BG358" s="15"/>
    </row>
    <row r="359" spans="1:59" ht="14.25" customHeight="1" x14ac:dyDescent="0.3">
      <c r="A359" s="15"/>
      <c r="B359" s="15"/>
      <c r="C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S359" s="15"/>
      <c r="AT359" s="15"/>
      <c r="AU359" s="15"/>
      <c r="AV359" s="15"/>
      <c r="AX359" s="15"/>
      <c r="AY359" s="15"/>
      <c r="AZ359" s="15"/>
      <c r="BA359" s="15"/>
      <c r="BC359" s="15"/>
      <c r="BF359" s="15"/>
      <c r="BG359" s="15"/>
    </row>
    <row r="360" spans="1:59" ht="14.25" customHeight="1" x14ac:dyDescent="0.3">
      <c r="A360" s="15"/>
      <c r="B360" s="15"/>
      <c r="C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S360" s="15"/>
      <c r="AT360" s="15"/>
      <c r="AU360" s="15"/>
      <c r="AV360" s="15"/>
      <c r="AX360" s="15"/>
      <c r="AY360" s="15"/>
      <c r="AZ360" s="15"/>
      <c r="BA360" s="15"/>
      <c r="BC360" s="15"/>
      <c r="BF360" s="15"/>
      <c r="BG360" s="15"/>
    </row>
    <row r="361" spans="1:59" ht="14.25" customHeight="1" x14ac:dyDescent="0.3">
      <c r="A361" s="15"/>
      <c r="B361" s="15"/>
      <c r="C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S361" s="15"/>
      <c r="AT361" s="15"/>
      <c r="AU361" s="15"/>
      <c r="AV361" s="15"/>
      <c r="AX361" s="15"/>
      <c r="AY361" s="15"/>
      <c r="AZ361" s="15"/>
      <c r="BA361" s="15"/>
      <c r="BC361" s="15"/>
      <c r="BF361" s="15"/>
      <c r="BG361" s="15"/>
    </row>
    <row r="362" spans="1:59" ht="14.25" customHeight="1" x14ac:dyDescent="0.3">
      <c r="A362" s="15"/>
      <c r="B362" s="15"/>
      <c r="C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S362" s="15"/>
      <c r="AT362" s="15"/>
      <c r="AU362" s="15"/>
      <c r="AV362" s="15"/>
      <c r="AX362" s="15"/>
      <c r="AY362" s="15"/>
      <c r="AZ362" s="15"/>
      <c r="BA362" s="15"/>
      <c r="BC362" s="15"/>
      <c r="BF362" s="15"/>
      <c r="BG362" s="15"/>
    </row>
    <row r="363" spans="1:59" ht="14.25" customHeight="1" x14ac:dyDescent="0.3">
      <c r="A363" s="15"/>
      <c r="B363" s="15"/>
      <c r="C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S363" s="15"/>
      <c r="AT363" s="15"/>
      <c r="AU363" s="15"/>
      <c r="AV363" s="15"/>
      <c r="AX363" s="15"/>
      <c r="AY363" s="15"/>
      <c r="AZ363" s="15"/>
      <c r="BA363" s="15"/>
      <c r="BC363" s="15"/>
      <c r="BF363" s="15"/>
      <c r="BG363" s="15"/>
    </row>
    <row r="364" spans="1:59" ht="14.25" customHeight="1" x14ac:dyDescent="0.3">
      <c r="A364" s="15"/>
      <c r="B364" s="15"/>
      <c r="C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S364" s="15"/>
      <c r="AT364" s="15"/>
      <c r="AU364" s="15"/>
      <c r="AV364" s="15"/>
      <c r="AX364" s="15"/>
      <c r="AY364" s="15"/>
      <c r="AZ364" s="15"/>
      <c r="BA364" s="15"/>
      <c r="BC364" s="15"/>
      <c r="BF364" s="15"/>
      <c r="BG364" s="15"/>
    </row>
    <row r="365" spans="1:59" ht="14.25" customHeight="1" x14ac:dyDescent="0.3">
      <c r="A365" s="15"/>
      <c r="B365" s="15"/>
      <c r="C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S365" s="15"/>
      <c r="AT365" s="15"/>
      <c r="AU365" s="15"/>
      <c r="AV365" s="15"/>
      <c r="AX365" s="15"/>
      <c r="AY365" s="15"/>
      <c r="AZ365" s="15"/>
      <c r="BA365" s="15"/>
      <c r="BC365" s="15"/>
      <c r="BF365" s="15"/>
      <c r="BG365" s="15"/>
    </row>
    <row r="366" spans="1:59" ht="14.25" customHeight="1" x14ac:dyDescent="0.3">
      <c r="A366" s="15"/>
      <c r="B366" s="15"/>
      <c r="C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S366" s="15"/>
      <c r="AT366" s="15"/>
      <c r="AU366" s="15"/>
      <c r="AV366" s="15"/>
      <c r="AX366" s="15"/>
      <c r="AY366" s="15"/>
      <c r="AZ366" s="15"/>
      <c r="BA366" s="15"/>
      <c r="BC366" s="15"/>
      <c r="BF366" s="15"/>
      <c r="BG366" s="15"/>
    </row>
    <row r="367" spans="1:59" ht="14.25" customHeight="1" x14ac:dyDescent="0.3">
      <c r="A367" s="15"/>
      <c r="B367" s="15"/>
      <c r="C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S367" s="15"/>
      <c r="AT367" s="15"/>
      <c r="AU367" s="15"/>
      <c r="AV367" s="15"/>
      <c r="AX367" s="15"/>
      <c r="AY367" s="15"/>
      <c r="AZ367" s="15"/>
      <c r="BA367" s="15"/>
      <c r="BC367" s="15"/>
      <c r="BF367" s="15"/>
      <c r="BG367" s="15"/>
    </row>
    <row r="368" spans="1:59" ht="14.25" customHeight="1" x14ac:dyDescent="0.3">
      <c r="A368" s="15"/>
      <c r="B368" s="15"/>
      <c r="C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S368" s="15"/>
      <c r="AT368" s="15"/>
      <c r="AU368" s="15"/>
      <c r="AV368" s="15"/>
      <c r="AX368" s="15"/>
      <c r="AY368" s="15"/>
      <c r="AZ368" s="15"/>
      <c r="BA368" s="15"/>
      <c r="BC368" s="15"/>
      <c r="BF368" s="15"/>
      <c r="BG368" s="15"/>
    </row>
    <row r="369" spans="1:59" ht="14.25" customHeight="1" x14ac:dyDescent="0.3">
      <c r="A369" s="15"/>
      <c r="B369" s="15"/>
      <c r="C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S369" s="15"/>
      <c r="AT369" s="15"/>
      <c r="AU369" s="15"/>
      <c r="AV369" s="15"/>
      <c r="AX369" s="15"/>
      <c r="AY369" s="15"/>
      <c r="AZ369" s="15"/>
      <c r="BA369" s="15"/>
      <c r="BC369" s="15"/>
      <c r="BF369" s="15"/>
      <c r="BG369" s="15"/>
    </row>
    <row r="370" spans="1:59" ht="14.25" customHeight="1" x14ac:dyDescent="0.3">
      <c r="A370" s="15"/>
      <c r="B370" s="15"/>
      <c r="C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S370" s="15"/>
      <c r="AT370" s="15"/>
      <c r="AU370" s="15"/>
      <c r="AV370" s="15"/>
      <c r="AX370" s="15"/>
      <c r="AY370" s="15"/>
      <c r="AZ370" s="15"/>
      <c r="BA370" s="15"/>
      <c r="BC370" s="15"/>
      <c r="BF370" s="15"/>
      <c r="BG370" s="15"/>
    </row>
    <row r="371" spans="1:59" ht="14.25" customHeight="1" x14ac:dyDescent="0.3">
      <c r="A371" s="15"/>
      <c r="B371" s="15"/>
      <c r="C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S371" s="15"/>
      <c r="AT371" s="15"/>
      <c r="AU371" s="15"/>
      <c r="AV371" s="15"/>
      <c r="AX371" s="15"/>
      <c r="AY371" s="15"/>
      <c r="AZ371" s="15"/>
      <c r="BA371" s="15"/>
      <c r="BC371" s="15"/>
      <c r="BF371" s="15"/>
      <c r="BG371" s="15"/>
    </row>
    <row r="372" spans="1:59" ht="14.25" customHeight="1" x14ac:dyDescent="0.3">
      <c r="A372" s="15"/>
      <c r="B372" s="15"/>
      <c r="C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S372" s="15"/>
      <c r="AT372" s="15"/>
      <c r="AU372" s="15"/>
      <c r="AV372" s="15"/>
      <c r="AX372" s="15"/>
      <c r="AY372" s="15"/>
      <c r="AZ372" s="15"/>
      <c r="BA372" s="15"/>
      <c r="BC372" s="15"/>
      <c r="BF372" s="15"/>
      <c r="BG372" s="15"/>
    </row>
    <row r="373" spans="1:59" ht="14.25" customHeight="1" x14ac:dyDescent="0.3">
      <c r="A373" s="15"/>
      <c r="B373" s="15"/>
      <c r="C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S373" s="15"/>
      <c r="AT373" s="15"/>
      <c r="AU373" s="15"/>
      <c r="AV373" s="15"/>
      <c r="AX373" s="15"/>
      <c r="AY373" s="15"/>
      <c r="AZ373" s="15"/>
      <c r="BA373" s="15"/>
      <c r="BC373" s="15"/>
      <c r="BF373" s="15"/>
      <c r="BG373" s="15"/>
    </row>
    <row r="374" spans="1:59" ht="14.25" customHeight="1" x14ac:dyDescent="0.3">
      <c r="A374" s="15"/>
      <c r="B374" s="15"/>
      <c r="C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S374" s="15"/>
      <c r="AT374" s="15"/>
      <c r="AU374" s="15"/>
      <c r="AV374" s="15"/>
      <c r="AX374" s="15"/>
      <c r="AY374" s="15"/>
      <c r="AZ374" s="15"/>
      <c r="BA374" s="15"/>
      <c r="BC374" s="15"/>
      <c r="BF374" s="15"/>
      <c r="BG374" s="15"/>
    </row>
    <row r="375" spans="1:59" ht="14.25" customHeight="1" x14ac:dyDescent="0.3">
      <c r="A375" s="15"/>
      <c r="B375" s="15"/>
      <c r="C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S375" s="15"/>
      <c r="AT375" s="15"/>
      <c r="AU375" s="15"/>
      <c r="AV375" s="15"/>
      <c r="AX375" s="15"/>
      <c r="AY375" s="15"/>
      <c r="AZ375" s="15"/>
      <c r="BA375" s="15"/>
      <c r="BC375" s="15"/>
      <c r="BF375" s="15"/>
      <c r="BG375" s="15"/>
    </row>
    <row r="376" spans="1:59" ht="14.25" customHeight="1" x14ac:dyDescent="0.3">
      <c r="A376" s="15"/>
      <c r="B376" s="15"/>
      <c r="C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S376" s="15"/>
      <c r="AT376" s="15"/>
      <c r="AU376" s="15"/>
      <c r="AV376" s="15"/>
      <c r="AX376" s="15"/>
      <c r="AY376" s="15"/>
      <c r="AZ376" s="15"/>
      <c r="BA376" s="15"/>
      <c r="BC376" s="15"/>
      <c r="BF376" s="15"/>
      <c r="BG376" s="15"/>
    </row>
    <row r="377" spans="1:59" ht="14.25" customHeight="1" x14ac:dyDescent="0.3">
      <c r="A377" s="15"/>
      <c r="B377" s="15"/>
      <c r="C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S377" s="15"/>
      <c r="AT377" s="15"/>
      <c r="AU377" s="15"/>
      <c r="AV377" s="15"/>
      <c r="AX377" s="15"/>
      <c r="AY377" s="15"/>
      <c r="AZ377" s="15"/>
      <c r="BA377" s="15"/>
      <c r="BC377" s="15"/>
      <c r="BF377" s="15"/>
      <c r="BG377" s="15"/>
    </row>
    <row r="378" spans="1:59" ht="14.25" customHeight="1" x14ac:dyDescent="0.3">
      <c r="A378" s="15"/>
      <c r="B378" s="15"/>
      <c r="C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S378" s="15"/>
      <c r="AT378" s="15"/>
      <c r="AU378" s="15"/>
      <c r="AV378" s="15"/>
      <c r="AX378" s="15"/>
      <c r="AY378" s="15"/>
      <c r="AZ378" s="15"/>
      <c r="BA378" s="15"/>
      <c r="BC378" s="15"/>
      <c r="BF378" s="15"/>
      <c r="BG378" s="15"/>
    </row>
    <row r="379" spans="1:59" ht="14.25" customHeight="1" x14ac:dyDescent="0.3">
      <c r="A379" s="15"/>
      <c r="B379" s="15"/>
      <c r="C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S379" s="15"/>
      <c r="AT379" s="15"/>
      <c r="AU379" s="15"/>
      <c r="AV379" s="15"/>
      <c r="AX379" s="15"/>
      <c r="AY379" s="15"/>
      <c r="AZ379" s="15"/>
      <c r="BA379" s="15"/>
      <c r="BC379" s="15"/>
      <c r="BF379" s="15"/>
      <c r="BG379" s="15"/>
    </row>
    <row r="380" spans="1:59" ht="14.25" customHeight="1" x14ac:dyDescent="0.3">
      <c r="A380" s="15"/>
      <c r="B380" s="15"/>
      <c r="C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S380" s="15"/>
      <c r="AT380" s="15"/>
      <c r="AU380" s="15"/>
      <c r="AV380" s="15"/>
      <c r="AX380" s="15"/>
      <c r="AY380" s="15"/>
      <c r="AZ380" s="15"/>
      <c r="BA380" s="15"/>
      <c r="BC380" s="15"/>
      <c r="BF380" s="15"/>
      <c r="BG380" s="15"/>
    </row>
    <row r="381" spans="1:59" ht="14.25" customHeight="1" x14ac:dyDescent="0.3">
      <c r="A381" s="15"/>
      <c r="B381" s="15"/>
      <c r="C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S381" s="15"/>
      <c r="AT381" s="15"/>
      <c r="AU381" s="15"/>
      <c r="AV381" s="15"/>
      <c r="AX381" s="15"/>
      <c r="AY381" s="15"/>
      <c r="AZ381" s="15"/>
      <c r="BA381" s="15"/>
      <c r="BC381" s="15"/>
      <c r="BF381" s="15"/>
      <c r="BG381" s="15"/>
    </row>
    <row r="382" spans="1:59" ht="14.25" customHeight="1" x14ac:dyDescent="0.3">
      <c r="A382" s="15"/>
      <c r="B382" s="15"/>
      <c r="C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S382" s="15"/>
      <c r="AT382" s="15"/>
      <c r="AU382" s="15"/>
      <c r="AV382" s="15"/>
      <c r="AX382" s="15"/>
      <c r="AY382" s="15"/>
      <c r="AZ382" s="15"/>
      <c r="BA382" s="15"/>
      <c r="BC382" s="15"/>
      <c r="BF382" s="15"/>
      <c r="BG382" s="15"/>
    </row>
    <row r="383" spans="1:59" ht="14.25" customHeight="1" x14ac:dyDescent="0.3">
      <c r="A383" s="15"/>
      <c r="B383" s="15"/>
      <c r="C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S383" s="15"/>
      <c r="AT383" s="15"/>
      <c r="AU383" s="15"/>
      <c r="AV383" s="15"/>
      <c r="AX383" s="15"/>
      <c r="AY383" s="15"/>
      <c r="AZ383" s="15"/>
      <c r="BA383" s="15"/>
      <c r="BC383" s="15"/>
      <c r="BF383" s="15"/>
      <c r="BG383" s="15"/>
    </row>
    <row r="384" spans="1:59" ht="14.25" customHeight="1" x14ac:dyDescent="0.3">
      <c r="A384" s="15"/>
      <c r="B384" s="15"/>
      <c r="C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S384" s="15"/>
      <c r="AT384" s="15"/>
      <c r="AU384" s="15"/>
      <c r="AV384" s="15"/>
      <c r="AX384" s="15"/>
      <c r="AY384" s="15"/>
      <c r="AZ384" s="15"/>
      <c r="BA384" s="15"/>
      <c r="BC384" s="15"/>
      <c r="BF384" s="15"/>
      <c r="BG384" s="15"/>
    </row>
    <row r="385" spans="1:59" ht="14.25" customHeight="1" x14ac:dyDescent="0.3">
      <c r="A385" s="15"/>
      <c r="B385" s="15"/>
      <c r="C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S385" s="15"/>
      <c r="AT385" s="15"/>
      <c r="AU385" s="15"/>
      <c r="AV385" s="15"/>
      <c r="AX385" s="15"/>
      <c r="AY385" s="15"/>
      <c r="AZ385" s="15"/>
      <c r="BA385" s="15"/>
      <c r="BC385" s="15"/>
      <c r="BF385" s="15"/>
      <c r="BG385" s="15"/>
    </row>
    <row r="386" spans="1:59" ht="14.25" customHeight="1" x14ac:dyDescent="0.3">
      <c r="A386" s="15"/>
      <c r="B386" s="15"/>
      <c r="C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S386" s="15"/>
      <c r="AT386" s="15"/>
      <c r="AU386" s="15"/>
      <c r="AV386" s="15"/>
      <c r="AX386" s="15"/>
      <c r="AY386" s="15"/>
      <c r="AZ386" s="15"/>
      <c r="BA386" s="15"/>
      <c r="BC386" s="15"/>
      <c r="BF386" s="15"/>
      <c r="BG386" s="15"/>
    </row>
    <row r="387" spans="1:59" ht="14.25" customHeight="1" x14ac:dyDescent="0.3">
      <c r="A387" s="15"/>
      <c r="B387" s="15"/>
      <c r="C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S387" s="15"/>
      <c r="AT387" s="15"/>
      <c r="AU387" s="15"/>
      <c r="AV387" s="15"/>
      <c r="AX387" s="15"/>
      <c r="AY387" s="15"/>
      <c r="AZ387" s="15"/>
      <c r="BA387" s="15"/>
      <c r="BC387" s="15"/>
      <c r="BF387" s="15"/>
      <c r="BG387" s="15"/>
    </row>
    <row r="388" spans="1:59" ht="14.25" customHeight="1" x14ac:dyDescent="0.3">
      <c r="A388" s="15"/>
      <c r="B388" s="15"/>
      <c r="C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S388" s="15"/>
      <c r="AT388" s="15"/>
      <c r="AU388" s="15"/>
      <c r="AV388" s="15"/>
      <c r="AX388" s="15"/>
      <c r="AY388" s="15"/>
      <c r="AZ388" s="15"/>
      <c r="BA388" s="15"/>
      <c r="BC388" s="15"/>
      <c r="BF388" s="15"/>
      <c r="BG388" s="15"/>
    </row>
    <row r="389" spans="1:59" ht="14.25" customHeight="1" x14ac:dyDescent="0.3">
      <c r="A389" s="15"/>
      <c r="B389" s="15"/>
      <c r="C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S389" s="15"/>
      <c r="AT389" s="15"/>
      <c r="AU389" s="15"/>
      <c r="AV389" s="15"/>
      <c r="AX389" s="15"/>
      <c r="AY389" s="15"/>
      <c r="AZ389" s="15"/>
      <c r="BA389" s="15"/>
      <c r="BC389" s="15"/>
      <c r="BF389" s="15"/>
      <c r="BG389" s="15"/>
    </row>
    <row r="390" spans="1:59" ht="14.25" customHeight="1" x14ac:dyDescent="0.3">
      <c r="A390" s="15"/>
      <c r="B390" s="15"/>
      <c r="C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S390" s="15"/>
      <c r="AT390" s="15"/>
      <c r="AU390" s="15"/>
      <c r="AV390" s="15"/>
      <c r="AX390" s="15"/>
      <c r="AY390" s="15"/>
      <c r="AZ390" s="15"/>
      <c r="BA390" s="15"/>
      <c r="BC390" s="15"/>
      <c r="BF390" s="15"/>
      <c r="BG390" s="15"/>
    </row>
    <row r="391" spans="1:59" ht="14.25" customHeight="1" x14ac:dyDescent="0.3">
      <c r="A391" s="15"/>
      <c r="B391" s="15"/>
      <c r="C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S391" s="15"/>
      <c r="AT391" s="15"/>
      <c r="AU391" s="15"/>
      <c r="AV391" s="15"/>
      <c r="AX391" s="15"/>
      <c r="AY391" s="15"/>
      <c r="AZ391" s="15"/>
      <c r="BA391" s="15"/>
      <c r="BC391" s="15"/>
      <c r="BF391" s="15"/>
      <c r="BG391" s="15"/>
    </row>
    <row r="392" spans="1:59" ht="14.25" customHeight="1" x14ac:dyDescent="0.3">
      <c r="A392" s="15"/>
      <c r="B392" s="15"/>
      <c r="C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S392" s="15"/>
      <c r="AT392" s="15"/>
      <c r="AU392" s="15"/>
      <c r="AV392" s="15"/>
      <c r="AX392" s="15"/>
      <c r="AY392" s="15"/>
      <c r="AZ392" s="15"/>
      <c r="BA392" s="15"/>
      <c r="BC392" s="15"/>
      <c r="BF392" s="15"/>
      <c r="BG392" s="15"/>
    </row>
    <row r="393" spans="1:59" ht="14.25" customHeight="1" x14ac:dyDescent="0.3">
      <c r="A393" s="15"/>
      <c r="B393" s="15"/>
      <c r="C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S393" s="15"/>
      <c r="AT393" s="15"/>
      <c r="AU393" s="15"/>
      <c r="AV393" s="15"/>
      <c r="AX393" s="15"/>
      <c r="AY393" s="15"/>
      <c r="AZ393" s="15"/>
      <c r="BA393" s="15"/>
      <c r="BC393" s="15"/>
      <c r="BF393" s="15"/>
      <c r="BG393" s="15"/>
    </row>
    <row r="394" spans="1:59" ht="14.25" customHeight="1" x14ac:dyDescent="0.3">
      <c r="A394" s="15"/>
      <c r="B394" s="15"/>
      <c r="C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S394" s="15"/>
      <c r="AT394" s="15"/>
      <c r="AU394" s="15"/>
      <c r="AV394" s="15"/>
      <c r="AX394" s="15"/>
      <c r="AY394" s="15"/>
      <c r="AZ394" s="15"/>
      <c r="BA394" s="15"/>
      <c r="BC394" s="15"/>
      <c r="BF394" s="15"/>
      <c r="BG394" s="15"/>
    </row>
    <row r="395" spans="1:59" ht="14.25" customHeight="1" x14ac:dyDescent="0.3">
      <c r="A395" s="15"/>
      <c r="B395" s="15"/>
      <c r="C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S395" s="15"/>
      <c r="AT395" s="15"/>
      <c r="AU395" s="15"/>
      <c r="AV395" s="15"/>
      <c r="AX395" s="15"/>
      <c r="AY395" s="15"/>
      <c r="AZ395" s="15"/>
      <c r="BA395" s="15"/>
      <c r="BC395" s="15"/>
      <c r="BF395" s="15"/>
      <c r="BG395" s="15"/>
    </row>
    <row r="396" spans="1:59" ht="14.25" customHeight="1" x14ac:dyDescent="0.3">
      <c r="A396" s="15"/>
      <c r="B396" s="15"/>
      <c r="C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S396" s="15"/>
      <c r="AT396" s="15"/>
      <c r="AU396" s="15"/>
      <c r="AV396" s="15"/>
      <c r="AX396" s="15"/>
      <c r="AY396" s="15"/>
      <c r="AZ396" s="15"/>
      <c r="BA396" s="15"/>
      <c r="BC396" s="15"/>
      <c r="BF396" s="15"/>
      <c r="BG396" s="15"/>
    </row>
    <row r="397" spans="1:59" ht="14.25" customHeight="1" x14ac:dyDescent="0.3">
      <c r="A397" s="15"/>
      <c r="B397" s="15"/>
      <c r="C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S397" s="15"/>
      <c r="AT397" s="15"/>
      <c r="AU397" s="15"/>
      <c r="AV397" s="15"/>
      <c r="AX397" s="15"/>
      <c r="AY397" s="15"/>
      <c r="AZ397" s="15"/>
      <c r="BA397" s="15"/>
      <c r="BC397" s="15"/>
      <c r="BF397" s="15"/>
      <c r="BG397" s="15"/>
    </row>
    <row r="398" spans="1:59" ht="14.25" customHeight="1" x14ac:dyDescent="0.3">
      <c r="A398" s="15"/>
      <c r="B398" s="15"/>
      <c r="C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S398" s="15"/>
      <c r="AT398" s="15"/>
      <c r="AU398" s="15"/>
      <c r="AV398" s="15"/>
      <c r="AX398" s="15"/>
      <c r="AY398" s="15"/>
      <c r="AZ398" s="15"/>
      <c r="BA398" s="15"/>
      <c r="BC398" s="15"/>
      <c r="BF398" s="15"/>
      <c r="BG398" s="15"/>
    </row>
    <row r="399" spans="1:59" ht="14.25" customHeight="1" x14ac:dyDescent="0.3">
      <c r="A399" s="15"/>
      <c r="B399" s="15"/>
      <c r="C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S399" s="15"/>
      <c r="AT399" s="15"/>
      <c r="AU399" s="15"/>
      <c r="AV399" s="15"/>
      <c r="AX399" s="15"/>
      <c r="AY399" s="15"/>
      <c r="AZ399" s="15"/>
      <c r="BA399" s="15"/>
      <c r="BC399" s="15"/>
      <c r="BF399" s="15"/>
      <c r="BG399" s="15"/>
    </row>
    <row r="400" spans="1:59" ht="14.25" customHeight="1" x14ac:dyDescent="0.3">
      <c r="A400" s="15"/>
      <c r="B400" s="15"/>
      <c r="C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S400" s="15"/>
      <c r="AT400" s="15"/>
      <c r="AU400" s="15"/>
      <c r="AV400" s="15"/>
      <c r="AX400" s="15"/>
      <c r="AY400" s="15"/>
      <c r="AZ400" s="15"/>
      <c r="BA400" s="15"/>
      <c r="BC400" s="15"/>
      <c r="BF400" s="15"/>
      <c r="BG400" s="15"/>
    </row>
    <row r="401" spans="1:59" ht="14.25" customHeight="1" x14ac:dyDescent="0.3">
      <c r="A401" s="15"/>
      <c r="B401" s="15"/>
      <c r="C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S401" s="15"/>
      <c r="AT401" s="15"/>
      <c r="AU401" s="15"/>
      <c r="AV401" s="15"/>
      <c r="AX401" s="15"/>
      <c r="AY401" s="15"/>
      <c r="AZ401" s="15"/>
      <c r="BA401" s="15"/>
      <c r="BC401" s="15"/>
      <c r="BF401" s="15"/>
      <c r="BG401" s="15"/>
    </row>
    <row r="402" spans="1:59" ht="14.25" customHeight="1" x14ac:dyDescent="0.3">
      <c r="A402" s="15"/>
      <c r="B402" s="15"/>
      <c r="C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S402" s="15"/>
      <c r="AT402" s="15"/>
      <c r="AU402" s="15"/>
      <c r="AV402" s="15"/>
      <c r="AX402" s="15"/>
      <c r="AY402" s="15"/>
      <c r="AZ402" s="15"/>
      <c r="BA402" s="15"/>
      <c r="BC402" s="15"/>
      <c r="BF402" s="15"/>
      <c r="BG402" s="15"/>
    </row>
    <row r="403" spans="1:59" ht="14.25" customHeight="1" x14ac:dyDescent="0.3">
      <c r="A403" s="15"/>
      <c r="B403" s="15"/>
      <c r="C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S403" s="15"/>
      <c r="AT403" s="15"/>
      <c r="AU403" s="15"/>
      <c r="AV403" s="15"/>
      <c r="AX403" s="15"/>
      <c r="AY403" s="15"/>
      <c r="AZ403" s="15"/>
      <c r="BA403" s="15"/>
      <c r="BC403" s="15"/>
      <c r="BF403" s="15"/>
      <c r="BG403" s="15"/>
    </row>
    <row r="404" spans="1:59" ht="14.25" customHeight="1" x14ac:dyDescent="0.3">
      <c r="A404" s="15"/>
      <c r="B404" s="15"/>
      <c r="C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S404" s="15"/>
      <c r="AT404" s="15"/>
      <c r="AU404" s="15"/>
      <c r="AV404" s="15"/>
      <c r="AX404" s="15"/>
      <c r="AY404" s="15"/>
      <c r="AZ404" s="15"/>
      <c r="BA404" s="15"/>
      <c r="BC404" s="15"/>
      <c r="BF404" s="15"/>
      <c r="BG404" s="15"/>
    </row>
    <row r="405" spans="1:59" ht="14.25" customHeight="1" x14ac:dyDescent="0.3">
      <c r="A405" s="15"/>
      <c r="B405" s="15"/>
      <c r="C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S405" s="15"/>
      <c r="AT405" s="15"/>
      <c r="AU405" s="15"/>
      <c r="AV405" s="15"/>
      <c r="AX405" s="15"/>
      <c r="AY405" s="15"/>
      <c r="AZ405" s="15"/>
      <c r="BA405" s="15"/>
      <c r="BC405" s="15"/>
      <c r="BF405" s="15"/>
      <c r="BG405" s="15"/>
    </row>
    <row r="406" spans="1:59" ht="14.25" customHeight="1" x14ac:dyDescent="0.3">
      <c r="A406" s="15"/>
      <c r="B406" s="15"/>
      <c r="C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S406" s="15"/>
      <c r="AT406" s="15"/>
      <c r="AU406" s="15"/>
      <c r="AV406" s="15"/>
      <c r="AX406" s="15"/>
      <c r="AY406" s="15"/>
      <c r="AZ406" s="15"/>
      <c r="BA406" s="15"/>
      <c r="BC406" s="15"/>
      <c r="BF406" s="15"/>
      <c r="BG406" s="15"/>
    </row>
    <row r="407" spans="1:59" ht="14.25" customHeight="1" x14ac:dyDescent="0.3">
      <c r="A407" s="15"/>
      <c r="B407" s="15"/>
      <c r="C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S407" s="15"/>
      <c r="AT407" s="15"/>
      <c r="AU407" s="15"/>
      <c r="AV407" s="15"/>
      <c r="AX407" s="15"/>
      <c r="AY407" s="15"/>
      <c r="AZ407" s="15"/>
      <c r="BA407" s="15"/>
      <c r="BC407" s="15"/>
      <c r="BF407" s="15"/>
      <c r="BG407" s="15"/>
    </row>
    <row r="408" spans="1:59" ht="14.25" customHeight="1" x14ac:dyDescent="0.3">
      <c r="A408" s="15"/>
      <c r="B408" s="15"/>
      <c r="C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S408" s="15"/>
      <c r="AT408" s="15"/>
      <c r="AU408" s="15"/>
      <c r="AV408" s="15"/>
      <c r="AX408" s="15"/>
      <c r="AY408" s="15"/>
      <c r="AZ408" s="15"/>
      <c r="BA408" s="15"/>
      <c r="BC408" s="15"/>
      <c r="BF408" s="15"/>
      <c r="BG408" s="15"/>
    </row>
    <row r="409" spans="1:59" ht="14.25" customHeight="1" x14ac:dyDescent="0.3">
      <c r="A409" s="15"/>
      <c r="B409" s="15"/>
      <c r="C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S409" s="15"/>
      <c r="AT409" s="15"/>
      <c r="AU409" s="15"/>
      <c r="AV409" s="15"/>
      <c r="AX409" s="15"/>
      <c r="AY409" s="15"/>
      <c r="AZ409" s="15"/>
      <c r="BA409" s="15"/>
      <c r="BC409" s="15"/>
      <c r="BF409" s="15"/>
      <c r="BG409" s="15"/>
    </row>
    <row r="410" spans="1:59" ht="14.25" customHeight="1" x14ac:dyDescent="0.3">
      <c r="A410" s="15"/>
      <c r="B410" s="15"/>
      <c r="C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S410" s="15"/>
      <c r="AT410" s="15"/>
      <c r="AU410" s="15"/>
      <c r="AV410" s="15"/>
      <c r="AX410" s="15"/>
      <c r="AY410" s="15"/>
      <c r="AZ410" s="15"/>
      <c r="BA410" s="15"/>
      <c r="BC410" s="15"/>
      <c r="BF410" s="15"/>
      <c r="BG410" s="15"/>
    </row>
    <row r="411" spans="1:59" ht="14.25" customHeight="1" x14ac:dyDescent="0.3">
      <c r="A411" s="15"/>
      <c r="B411" s="15"/>
      <c r="C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S411" s="15"/>
      <c r="AT411" s="15"/>
      <c r="AU411" s="15"/>
      <c r="AV411" s="15"/>
      <c r="AX411" s="15"/>
      <c r="AY411" s="15"/>
      <c r="AZ411" s="15"/>
      <c r="BA411" s="15"/>
      <c r="BC411" s="15"/>
      <c r="BF411" s="15"/>
      <c r="BG411" s="15"/>
    </row>
    <row r="412" spans="1:59" ht="14.25" customHeight="1" x14ac:dyDescent="0.3">
      <c r="A412" s="15"/>
      <c r="B412" s="15"/>
      <c r="C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S412" s="15"/>
      <c r="AT412" s="15"/>
      <c r="AU412" s="15"/>
      <c r="AV412" s="15"/>
      <c r="AX412" s="15"/>
      <c r="AY412" s="15"/>
      <c r="AZ412" s="15"/>
      <c r="BA412" s="15"/>
      <c r="BC412" s="15"/>
      <c r="BF412" s="15"/>
      <c r="BG412" s="15"/>
    </row>
    <row r="413" spans="1:59" ht="14.25" customHeight="1" x14ac:dyDescent="0.3">
      <c r="A413" s="15"/>
      <c r="B413" s="15"/>
      <c r="C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S413" s="15"/>
      <c r="AT413" s="15"/>
      <c r="AU413" s="15"/>
      <c r="AV413" s="15"/>
      <c r="AX413" s="15"/>
      <c r="AY413" s="15"/>
      <c r="AZ413" s="15"/>
      <c r="BA413" s="15"/>
      <c r="BC413" s="15"/>
      <c r="BF413" s="15"/>
      <c r="BG413" s="15"/>
    </row>
    <row r="414" spans="1:59" ht="14.25" customHeight="1" x14ac:dyDescent="0.3">
      <c r="A414" s="15"/>
      <c r="B414" s="15"/>
      <c r="C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S414" s="15"/>
      <c r="AT414" s="15"/>
      <c r="AU414" s="15"/>
      <c r="AV414" s="15"/>
      <c r="AX414" s="15"/>
      <c r="AY414" s="15"/>
      <c r="AZ414" s="15"/>
      <c r="BA414" s="15"/>
      <c r="BC414" s="15"/>
      <c r="BF414" s="15"/>
      <c r="BG414" s="15"/>
    </row>
    <row r="415" spans="1:59" ht="14.25" customHeight="1" x14ac:dyDescent="0.3">
      <c r="A415" s="15"/>
      <c r="B415" s="15"/>
      <c r="C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S415" s="15"/>
      <c r="AT415" s="15"/>
      <c r="AU415" s="15"/>
      <c r="AV415" s="15"/>
      <c r="AX415" s="15"/>
      <c r="AY415" s="15"/>
      <c r="AZ415" s="15"/>
      <c r="BA415" s="15"/>
      <c r="BC415" s="15"/>
      <c r="BF415" s="15"/>
      <c r="BG415" s="15"/>
    </row>
    <row r="416" spans="1:59" ht="14.25" customHeight="1" x14ac:dyDescent="0.3">
      <c r="A416" s="15"/>
      <c r="B416" s="15"/>
      <c r="C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S416" s="15"/>
      <c r="AT416" s="15"/>
      <c r="AU416" s="15"/>
      <c r="AV416" s="15"/>
      <c r="AX416" s="15"/>
      <c r="AY416" s="15"/>
      <c r="AZ416" s="15"/>
      <c r="BA416" s="15"/>
      <c r="BC416" s="15"/>
      <c r="BF416" s="15"/>
      <c r="BG416" s="15"/>
    </row>
    <row r="417" spans="1:59" ht="14.25" customHeight="1" x14ac:dyDescent="0.3">
      <c r="A417" s="15"/>
      <c r="B417" s="15"/>
      <c r="C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S417" s="15"/>
      <c r="AT417" s="15"/>
      <c r="AU417" s="15"/>
      <c r="AV417" s="15"/>
      <c r="AX417" s="15"/>
      <c r="AY417" s="15"/>
      <c r="AZ417" s="15"/>
      <c r="BA417" s="15"/>
      <c r="BC417" s="15"/>
      <c r="BF417" s="15"/>
      <c r="BG417" s="15"/>
    </row>
    <row r="418" spans="1:59" ht="14.25" customHeight="1" x14ac:dyDescent="0.3">
      <c r="A418" s="15"/>
      <c r="B418" s="15"/>
      <c r="C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S418" s="15"/>
      <c r="AT418" s="15"/>
      <c r="AU418" s="15"/>
      <c r="AV418" s="15"/>
      <c r="AX418" s="15"/>
      <c r="AY418" s="15"/>
      <c r="AZ418" s="15"/>
      <c r="BA418" s="15"/>
      <c r="BC418" s="15"/>
      <c r="BF418" s="15"/>
      <c r="BG418" s="15"/>
    </row>
    <row r="419" spans="1:59" ht="14.25" customHeight="1" x14ac:dyDescent="0.3">
      <c r="A419" s="15"/>
      <c r="B419" s="15"/>
      <c r="C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S419" s="15"/>
      <c r="AT419" s="15"/>
      <c r="AU419" s="15"/>
      <c r="AV419" s="15"/>
      <c r="AX419" s="15"/>
      <c r="AY419" s="15"/>
      <c r="AZ419" s="15"/>
      <c r="BA419" s="15"/>
      <c r="BC419" s="15"/>
      <c r="BF419" s="15"/>
      <c r="BG419" s="15"/>
    </row>
    <row r="420" spans="1:59" ht="14.25" customHeight="1" x14ac:dyDescent="0.3">
      <c r="A420" s="15"/>
      <c r="B420" s="15"/>
      <c r="C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S420" s="15"/>
      <c r="AT420" s="15"/>
      <c r="AU420" s="15"/>
      <c r="AV420" s="15"/>
      <c r="AX420" s="15"/>
      <c r="AY420" s="15"/>
      <c r="AZ420" s="15"/>
      <c r="BA420" s="15"/>
      <c r="BC420" s="15"/>
      <c r="BF420" s="15"/>
      <c r="BG420" s="15"/>
    </row>
    <row r="421" spans="1:59" ht="14.25" customHeight="1" x14ac:dyDescent="0.3">
      <c r="A421" s="15"/>
      <c r="B421" s="15"/>
      <c r="C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S421" s="15"/>
      <c r="AT421" s="15"/>
      <c r="AU421" s="15"/>
      <c r="AV421" s="15"/>
      <c r="AX421" s="15"/>
      <c r="AY421" s="15"/>
      <c r="AZ421" s="15"/>
      <c r="BA421" s="15"/>
      <c r="BC421" s="15"/>
      <c r="BF421" s="15"/>
      <c r="BG421" s="15"/>
    </row>
    <row r="422" spans="1:59" ht="14.25" customHeight="1" x14ac:dyDescent="0.3">
      <c r="A422" s="15"/>
      <c r="B422" s="15"/>
      <c r="C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S422" s="15"/>
      <c r="AT422" s="15"/>
      <c r="AU422" s="15"/>
      <c r="AV422" s="15"/>
      <c r="AX422" s="15"/>
      <c r="AY422" s="15"/>
      <c r="AZ422" s="15"/>
      <c r="BA422" s="15"/>
      <c r="BC422" s="15"/>
      <c r="BF422" s="15"/>
      <c r="BG422" s="15"/>
    </row>
    <row r="423" spans="1:59" ht="14.25" customHeight="1" x14ac:dyDescent="0.3">
      <c r="A423" s="15"/>
      <c r="B423" s="15"/>
      <c r="C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S423" s="15"/>
      <c r="AT423" s="15"/>
      <c r="AU423" s="15"/>
      <c r="AV423" s="15"/>
      <c r="AX423" s="15"/>
      <c r="AY423" s="15"/>
      <c r="AZ423" s="15"/>
      <c r="BA423" s="15"/>
      <c r="BC423" s="15"/>
      <c r="BF423" s="15"/>
      <c r="BG423" s="15"/>
    </row>
    <row r="424" spans="1:59" ht="14.25" customHeight="1" x14ac:dyDescent="0.3">
      <c r="A424" s="15"/>
      <c r="B424" s="15"/>
      <c r="C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S424" s="15"/>
      <c r="AT424" s="15"/>
      <c r="AU424" s="15"/>
      <c r="AV424" s="15"/>
      <c r="AX424" s="15"/>
      <c r="AY424" s="15"/>
      <c r="AZ424" s="15"/>
      <c r="BA424" s="15"/>
      <c r="BC424" s="15"/>
      <c r="BF424" s="15"/>
      <c r="BG424" s="15"/>
    </row>
    <row r="425" spans="1:59" ht="14.25" customHeight="1" x14ac:dyDescent="0.3">
      <c r="A425" s="15"/>
      <c r="B425" s="15"/>
      <c r="C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S425" s="15"/>
      <c r="AT425" s="15"/>
      <c r="AU425" s="15"/>
      <c r="AV425" s="15"/>
      <c r="AX425" s="15"/>
      <c r="AY425" s="15"/>
      <c r="AZ425" s="15"/>
      <c r="BA425" s="15"/>
      <c r="BC425" s="15"/>
      <c r="BF425" s="15"/>
      <c r="BG425" s="15"/>
    </row>
    <row r="426" spans="1:59" ht="14.25" customHeight="1" x14ac:dyDescent="0.3">
      <c r="A426" s="15"/>
      <c r="B426" s="15"/>
      <c r="C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S426" s="15"/>
      <c r="AT426" s="15"/>
      <c r="AU426" s="15"/>
      <c r="AV426" s="15"/>
      <c r="AX426" s="15"/>
      <c r="AY426" s="15"/>
      <c r="AZ426" s="15"/>
      <c r="BA426" s="15"/>
      <c r="BC426" s="15"/>
      <c r="BF426" s="15"/>
      <c r="BG426" s="15"/>
    </row>
    <row r="427" spans="1:59" ht="14.25" customHeight="1" x14ac:dyDescent="0.3">
      <c r="A427" s="15"/>
      <c r="B427" s="15"/>
      <c r="C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S427" s="15"/>
      <c r="AT427" s="15"/>
      <c r="AU427" s="15"/>
      <c r="AV427" s="15"/>
      <c r="AX427" s="15"/>
      <c r="AY427" s="15"/>
      <c r="AZ427" s="15"/>
      <c r="BA427" s="15"/>
      <c r="BC427" s="15"/>
      <c r="BF427" s="15"/>
      <c r="BG427" s="15"/>
    </row>
    <row r="428" spans="1:59" ht="14.25" customHeight="1" x14ac:dyDescent="0.3">
      <c r="A428" s="15"/>
      <c r="B428" s="15"/>
      <c r="C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S428" s="15"/>
      <c r="AT428" s="15"/>
      <c r="AU428" s="15"/>
      <c r="AV428" s="15"/>
      <c r="AX428" s="15"/>
      <c r="AY428" s="15"/>
      <c r="AZ428" s="15"/>
      <c r="BA428" s="15"/>
      <c r="BC428" s="15"/>
      <c r="BF428" s="15"/>
      <c r="BG428" s="15"/>
    </row>
    <row r="429" spans="1:59" ht="14.25" customHeight="1" x14ac:dyDescent="0.3">
      <c r="A429" s="15"/>
      <c r="B429" s="15"/>
      <c r="C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S429" s="15"/>
      <c r="AT429" s="15"/>
      <c r="AU429" s="15"/>
      <c r="AV429" s="15"/>
      <c r="AX429" s="15"/>
      <c r="AY429" s="15"/>
      <c r="AZ429" s="15"/>
      <c r="BA429" s="15"/>
      <c r="BC429" s="15"/>
      <c r="BF429" s="15"/>
      <c r="BG429" s="15"/>
    </row>
    <row r="430" spans="1:59" ht="14.25" customHeight="1" x14ac:dyDescent="0.3">
      <c r="A430" s="15"/>
      <c r="B430" s="15"/>
      <c r="C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S430" s="15"/>
      <c r="AT430" s="15"/>
      <c r="AU430" s="15"/>
      <c r="AV430" s="15"/>
      <c r="AX430" s="15"/>
      <c r="AY430" s="15"/>
      <c r="AZ430" s="15"/>
      <c r="BA430" s="15"/>
      <c r="BC430" s="15"/>
      <c r="BF430" s="15"/>
      <c r="BG430" s="15"/>
    </row>
    <row r="431" spans="1:59" ht="14.25" customHeight="1" x14ac:dyDescent="0.3">
      <c r="A431" s="15"/>
      <c r="B431" s="15"/>
      <c r="C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S431" s="15"/>
      <c r="AT431" s="15"/>
      <c r="AU431" s="15"/>
      <c r="AV431" s="15"/>
      <c r="AX431" s="15"/>
      <c r="AY431" s="15"/>
      <c r="AZ431" s="15"/>
      <c r="BA431" s="15"/>
      <c r="BC431" s="15"/>
      <c r="BF431" s="15"/>
      <c r="BG431" s="15"/>
    </row>
    <row r="432" spans="1:59" ht="14.25" customHeight="1" x14ac:dyDescent="0.3">
      <c r="A432" s="15"/>
      <c r="B432" s="15"/>
      <c r="C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S432" s="15"/>
      <c r="AT432" s="15"/>
      <c r="AU432" s="15"/>
      <c r="AV432" s="15"/>
      <c r="AX432" s="15"/>
      <c r="AY432" s="15"/>
      <c r="AZ432" s="15"/>
      <c r="BA432" s="15"/>
      <c r="BC432" s="15"/>
      <c r="BF432" s="15"/>
      <c r="BG432" s="15"/>
    </row>
    <row r="433" spans="1:59" ht="14.25" customHeight="1" x14ac:dyDescent="0.3">
      <c r="A433" s="15"/>
      <c r="B433" s="15"/>
      <c r="C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S433" s="15"/>
      <c r="AT433" s="15"/>
      <c r="AU433" s="15"/>
      <c r="AV433" s="15"/>
      <c r="AX433" s="15"/>
      <c r="AY433" s="15"/>
      <c r="AZ433" s="15"/>
      <c r="BA433" s="15"/>
      <c r="BC433" s="15"/>
      <c r="BF433" s="15"/>
      <c r="BG433" s="15"/>
    </row>
    <row r="434" spans="1:59" ht="14.25" customHeight="1" x14ac:dyDescent="0.3">
      <c r="A434" s="15"/>
      <c r="B434" s="15"/>
      <c r="C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S434" s="15"/>
      <c r="AT434" s="15"/>
      <c r="AU434" s="15"/>
      <c r="AV434" s="15"/>
      <c r="AX434" s="15"/>
      <c r="AY434" s="15"/>
      <c r="AZ434" s="15"/>
      <c r="BA434" s="15"/>
      <c r="BC434" s="15"/>
      <c r="BF434" s="15"/>
      <c r="BG434" s="15"/>
    </row>
    <row r="435" spans="1:59" ht="14.25" customHeight="1" x14ac:dyDescent="0.3">
      <c r="A435" s="15"/>
      <c r="B435" s="15"/>
      <c r="C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S435" s="15"/>
      <c r="AT435" s="15"/>
      <c r="AU435" s="15"/>
      <c r="AV435" s="15"/>
      <c r="AX435" s="15"/>
      <c r="AY435" s="15"/>
      <c r="AZ435" s="15"/>
      <c r="BA435" s="15"/>
      <c r="BC435" s="15"/>
      <c r="BF435" s="15"/>
      <c r="BG435" s="15"/>
    </row>
    <row r="436" spans="1:59" ht="14.25" customHeight="1" x14ac:dyDescent="0.3">
      <c r="A436" s="15"/>
      <c r="B436" s="15"/>
      <c r="C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S436" s="15"/>
      <c r="AT436" s="15"/>
      <c r="AU436" s="15"/>
      <c r="AV436" s="15"/>
      <c r="AX436" s="15"/>
      <c r="AY436" s="15"/>
      <c r="AZ436" s="15"/>
      <c r="BA436" s="15"/>
      <c r="BC436" s="15"/>
      <c r="BF436" s="15"/>
      <c r="BG436" s="15"/>
    </row>
    <row r="437" spans="1:59" ht="14.25" customHeight="1" x14ac:dyDescent="0.3">
      <c r="A437" s="15"/>
      <c r="B437" s="15"/>
      <c r="C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S437" s="15"/>
      <c r="AT437" s="15"/>
      <c r="AU437" s="15"/>
      <c r="AV437" s="15"/>
      <c r="AX437" s="15"/>
      <c r="AY437" s="15"/>
      <c r="AZ437" s="15"/>
      <c r="BA437" s="15"/>
      <c r="BC437" s="15"/>
      <c r="BF437" s="15"/>
      <c r="BG437" s="15"/>
    </row>
    <row r="438" spans="1:59" ht="14.25" customHeight="1" x14ac:dyDescent="0.3">
      <c r="A438" s="15"/>
      <c r="B438" s="15"/>
      <c r="C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S438" s="15"/>
      <c r="AT438" s="15"/>
      <c r="AU438" s="15"/>
      <c r="AV438" s="15"/>
      <c r="AX438" s="15"/>
      <c r="AY438" s="15"/>
      <c r="AZ438" s="15"/>
      <c r="BA438" s="15"/>
      <c r="BC438" s="15"/>
      <c r="BF438" s="15"/>
      <c r="BG438" s="15"/>
    </row>
    <row r="439" spans="1:59" ht="14.25" customHeight="1" x14ac:dyDescent="0.3">
      <c r="A439" s="15"/>
      <c r="B439" s="15"/>
      <c r="C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S439" s="15"/>
      <c r="AT439" s="15"/>
      <c r="AU439" s="15"/>
      <c r="AV439" s="15"/>
      <c r="AX439" s="15"/>
      <c r="AY439" s="15"/>
      <c r="AZ439" s="15"/>
      <c r="BA439" s="15"/>
      <c r="BC439" s="15"/>
      <c r="BF439" s="15"/>
      <c r="BG439" s="15"/>
    </row>
    <row r="440" spans="1:59" ht="14.25" customHeight="1" x14ac:dyDescent="0.3">
      <c r="A440" s="15"/>
      <c r="B440" s="15"/>
      <c r="C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S440" s="15"/>
      <c r="AT440" s="15"/>
      <c r="AU440" s="15"/>
      <c r="AV440" s="15"/>
      <c r="AX440" s="15"/>
      <c r="AY440" s="15"/>
      <c r="AZ440" s="15"/>
      <c r="BA440" s="15"/>
      <c r="BC440" s="15"/>
      <c r="BF440" s="15"/>
      <c r="BG440" s="15"/>
    </row>
    <row r="441" spans="1:59" ht="14.25" customHeight="1" x14ac:dyDescent="0.3">
      <c r="A441" s="15"/>
      <c r="B441" s="15"/>
      <c r="C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S441" s="15"/>
      <c r="AT441" s="15"/>
      <c r="AU441" s="15"/>
      <c r="AV441" s="15"/>
      <c r="AX441" s="15"/>
      <c r="AY441" s="15"/>
      <c r="AZ441" s="15"/>
      <c r="BA441" s="15"/>
      <c r="BC441" s="15"/>
      <c r="BF441" s="15"/>
      <c r="BG441" s="15"/>
    </row>
    <row r="442" spans="1:59" ht="14.25" customHeight="1" x14ac:dyDescent="0.3">
      <c r="A442" s="15"/>
      <c r="B442" s="15"/>
      <c r="C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S442" s="15"/>
      <c r="AT442" s="15"/>
      <c r="AU442" s="15"/>
      <c r="AV442" s="15"/>
      <c r="AX442" s="15"/>
      <c r="AY442" s="15"/>
      <c r="AZ442" s="15"/>
      <c r="BA442" s="15"/>
      <c r="BC442" s="15"/>
      <c r="BF442" s="15"/>
      <c r="BG442" s="15"/>
    </row>
    <row r="443" spans="1:59" ht="14.25" customHeight="1" x14ac:dyDescent="0.3">
      <c r="A443" s="15"/>
      <c r="B443" s="15"/>
      <c r="C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S443" s="15"/>
      <c r="AT443" s="15"/>
      <c r="AU443" s="15"/>
      <c r="AV443" s="15"/>
      <c r="AX443" s="15"/>
      <c r="AY443" s="15"/>
      <c r="AZ443" s="15"/>
      <c r="BA443" s="15"/>
      <c r="BC443" s="15"/>
      <c r="BF443" s="15"/>
      <c r="BG443" s="15"/>
    </row>
    <row r="444" spans="1:59" ht="14.25" customHeight="1" x14ac:dyDescent="0.3">
      <c r="A444" s="15"/>
      <c r="B444" s="15"/>
      <c r="C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S444" s="15"/>
      <c r="AT444" s="15"/>
      <c r="AU444" s="15"/>
      <c r="AV444" s="15"/>
      <c r="AX444" s="15"/>
      <c r="AY444" s="15"/>
      <c r="AZ444" s="15"/>
      <c r="BA444" s="15"/>
      <c r="BC444" s="15"/>
      <c r="BF444" s="15"/>
      <c r="BG444" s="15"/>
    </row>
    <row r="445" spans="1:59" ht="14.25" customHeight="1" x14ac:dyDescent="0.3">
      <c r="A445" s="15"/>
      <c r="B445" s="15"/>
      <c r="C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S445" s="15"/>
      <c r="AT445" s="15"/>
      <c r="AU445" s="15"/>
      <c r="AV445" s="15"/>
      <c r="AX445" s="15"/>
      <c r="AY445" s="15"/>
      <c r="AZ445" s="15"/>
      <c r="BA445" s="15"/>
      <c r="BC445" s="15"/>
      <c r="BF445" s="15"/>
      <c r="BG445" s="15"/>
    </row>
    <row r="446" spans="1:59" ht="14.25" customHeight="1" x14ac:dyDescent="0.3">
      <c r="A446" s="15"/>
      <c r="B446" s="15"/>
      <c r="C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S446" s="15"/>
      <c r="AT446" s="15"/>
      <c r="AU446" s="15"/>
      <c r="AV446" s="15"/>
      <c r="AX446" s="15"/>
      <c r="AY446" s="15"/>
      <c r="AZ446" s="15"/>
      <c r="BA446" s="15"/>
      <c r="BC446" s="15"/>
      <c r="BF446" s="15"/>
      <c r="BG446" s="15"/>
    </row>
    <row r="447" spans="1:59" ht="14.25" customHeight="1" x14ac:dyDescent="0.3">
      <c r="A447" s="15"/>
      <c r="B447" s="15"/>
      <c r="C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S447" s="15"/>
      <c r="AT447" s="15"/>
      <c r="AU447" s="15"/>
      <c r="AV447" s="15"/>
      <c r="AX447" s="15"/>
      <c r="AY447" s="15"/>
      <c r="AZ447" s="15"/>
      <c r="BA447" s="15"/>
      <c r="BC447" s="15"/>
      <c r="BF447" s="15"/>
      <c r="BG447" s="15"/>
    </row>
    <row r="448" spans="1:59" ht="14.25" customHeight="1" x14ac:dyDescent="0.3">
      <c r="A448" s="15"/>
      <c r="B448" s="15"/>
      <c r="C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S448" s="15"/>
      <c r="AT448" s="15"/>
      <c r="AU448" s="15"/>
      <c r="AV448" s="15"/>
      <c r="AX448" s="15"/>
      <c r="AY448" s="15"/>
      <c r="AZ448" s="15"/>
      <c r="BA448" s="15"/>
      <c r="BC448" s="15"/>
      <c r="BF448" s="15"/>
      <c r="BG448" s="15"/>
    </row>
    <row r="449" spans="1:59" ht="14.25" customHeight="1" x14ac:dyDescent="0.3">
      <c r="A449" s="15"/>
      <c r="B449" s="15"/>
      <c r="C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S449" s="15"/>
      <c r="AT449" s="15"/>
      <c r="AU449" s="15"/>
      <c r="AV449" s="15"/>
      <c r="AX449" s="15"/>
      <c r="AY449" s="15"/>
      <c r="AZ449" s="15"/>
      <c r="BA449" s="15"/>
      <c r="BC449" s="15"/>
      <c r="BF449" s="15"/>
      <c r="BG449" s="15"/>
    </row>
    <row r="450" spans="1:59" ht="14.25" customHeight="1" x14ac:dyDescent="0.3">
      <c r="A450" s="15"/>
      <c r="B450" s="15"/>
      <c r="C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S450" s="15"/>
      <c r="AT450" s="15"/>
      <c r="AU450" s="15"/>
      <c r="AV450" s="15"/>
      <c r="AX450" s="15"/>
      <c r="AY450" s="15"/>
      <c r="AZ450" s="15"/>
      <c r="BA450" s="15"/>
      <c r="BC450" s="15"/>
      <c r="BF450" s="15"/>
      <c r="BG450" s="15"/>
    </row>
    <row r="451" spans="1:59" ht="14.25" customHeight="1" x14ac:dyDescent="0.3">
      <c r="A451" s="15"/>
      <c r="B451" s="15"/>
      <c r="C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S451" s="15"/>
      <c r="AT451" s="15"/>
      <c r="AU451" s="15"/>
      <c r="AV451" s="15"/>
      <c r="AX451" s="15"/>
      <c r="AY451" s="15"/>
      <c r="AZ451" s="15"/>
      <c r="BA451" s="15"/>
      <c r="BC451" s="15"/>
      <c r="BF451" s="15"/>
      <c r="BG451" s="15"/>
    </row>
    <row r="452" spans="1:59" ht="14.25" customHeight="1" x14ac:dyDescent="0.3">
      <c r="A452" s="15"/>
      <c r="B452" s="15"/>
      <c r="C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S452" s="15"/>
      <c r="AT452" s="15"/>
      <c r="AU452" s="15"/>
      <c r="AV452" s="15"/>
      <c r="AX452" s="15"/>
      <c r="AY452" s="15"/>
      <c r="AZ452" s="15"/>
      <c r="BA452" s="15"/>
      <c r="BC452" s="15"/>
      <c r="BF452" s="15"/>
      <c r="BG452" s="15"/>
    </row>
    <row r="453" spans="1:59" ht="14.25" customHeight="1" x14ac:dyDescent="0.3">
      <c r="A453" s="15"/>
      <c r="B453" s="15"/>
      <c r="C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S453" s="15"/>
      <c r="AT453" s="15"/>
      <c r="AU453" s="15"/>
      <c r="AV453" s="15"/>
      <c r="AX453" s="15"/>
      <c r="AY453" s="15"/>
      <c r="AZ453" s="15"/>
      <c r="BA453" s="15"/>
      <c r="BC453" s="15"/>
      <c r="BF453" s="15"/>
      <c r="BG453" s="15"/>
    </row>
    <row r="454" spans="1:59" ht="14.25" customHeight="1" x14ac:dyDescent="0.3">
      <c r="A454" s="15"/>
      <c r="B454" s="15"/>
      <c r="C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S454" s="15"/>
      <c r="AT454" s="15"/>
      <c r="AU454" s="15"/>
      <c r="AV454" s="15"/>
      <c r="AX454" s="15"/>
      <c r="AY454" s="15"/>
      <c r="AZ454" s="15"/>
      <c r="BA454" s="15"/>
      <c r="BC454" s="15"/>
      <c r="BF454" s="15"/>
      <c r="BG454" s="15"/>
    </row>
    <row r="455" spans="1:59" ht="14.25" customHeight="1" x14ac:dyDescent="0.3">
      <c r="A455" s="15"/>
      <c r="B455" s="15"/>
      <c r="C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S455" s="15"/>
      <c r="AT455" s="15"/>
      <c r="AU455" s="15"/>
      <c r="AV455" s="15"/>
      <c r="AX455" s="15"/>
      <c r="AY455" s="15"/>
      <c r="AZ455" s="15"/>
      <c r="BA455" s="15"/>
      <c r="BC455" s="15"/>
      <c r="BF455" s="15"/>
      <c r="BG455" s="15"/>
    </row>
    <row r="456" spans="1:59" ht="14.25" customHeight="1" x14ac:dyDescent="0.3">
      <c r="A456" s="15"/>
      <c r="B456" s="15"/>
      <c r="C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S456" s="15"/>
      <c r="AT456" s="15"/>
      <c r="AU456" s="15"/>
      <c r="AV456" s="15"/>
      <c r="AX456" s="15"/>
      <c r="AY456" s="15"/>
      <c r="AZ456" s="15"/>
      <c r="BA456" s="15"/>
      <c r="BC456" s="15"/>
      <c r="BF456" s="15"/>
      <c r="BG456" s="15"/>
    </row>
    <row r="457" spans="1:59" ht="14.25" customHeight="1" x14ac:dyDescent="0.3">
      <c r="A457" s="15"/>
      <c r="B457" s="15"/>
      <c r="C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S457" s="15"/>
      <c r="AT457" s="15"/>
      <c r="AU457" s="15"/>
      <c r="AV457" s="15"/>
      <c r="AX457" s="15"/>
      <c r="AY457" s="15"/>
      <c r="AZ457" s="15"/>
      <c r="BA457" s="15"/>
      <c r="BC457" s="15"/>
      <c r="BF457" s="15"/>
      <c r="BG457" s="15"/>
    </row>
    <row r="458" spans="1:59" ht="14.25" customHeight="1" x14ac:dyDescent="0.3">
      <c r="A458" s="15"/>
      <c r="B458" s="15"/>
      <c r="C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S458" s="15"/>
      <c r="AT458" s="15"/>
      <c r="AU458" s="15"/>
      <c r="AV458" s="15"/>
      <c r="AX458" s="15"/>
      <c r="AY458" s="15"/>
      <c r="AZ458" s="15"/>
      <c r="BA458" s="15"/>
      <c r="BC458" s="15"/>
      <c r="BF458" s="15"/>
      <c r="BG458" s="15"/>
    </row>
    <row r="459" spans="1:59" ht="14.25" customHeight="1" x14ac:dyDescent="0.3">
      <c r="A459" s="15"/>
      <c r="B459" s="15"/>
      <c r="C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S459" s="15"/>
      <c r="AT459" s="15"/>
      <c r="AU459" s="15"/>
      <c r="AV459" s="15"/>
      <c r="AX459" s="15"/>
      <c r="AY459" s="15"/>
      <c r="AZ459" s="15"/>
      <c r="BA459" s="15"/>
      <c r="BC459" s="15"/>
      <c r="BF459" s="15"/>
      <c r="BG459" s="15"/>
    </row>
    <row r="460" spans="1:59" ht="14.25" customHeight="1" x14ac:dyDescent="0.3">
      <c r="A460" s="15"/>
      <c r="B460" s="15"/>
      <c r="C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S460" s="15"/>
      <c r="AT460" s="15"/>
      <c r="AU460" s="15"/>
      <c r="AV460" s="15"/>
      <c r="AX460" s="15"/>
      <c r="AY460" s="15"/>
      <c r="AZ460" s="15"/>
      <c r="BA460" s="15"/>
      <c r="BC460" s="15"/>
      <c r="BF460" s="15"/>
      <c r="BG460" s="15"/>
    </row>
    <row r="461" spans="1:59" ht="14.25" customHeight="1" x14ac:dyDescent="0.3">
      <c r="A461" s="15"/>
      <c r="B461" s="15"/>
      <c r="C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S461" s="15"/>
      <c r="AT461" s="15"/>
      <c r="AU461" s="15"/>
      <c r="AV461" s="15"/>
      <c r="AX461" s="15"/>
      <c r="AY461" s="15"/>
      <c r="AZ461" s="15"/>
      <c r="BA461" s="15"/>
      <c r="BC461" s="15"/>
      <c r="BF461" s="15"/>
      <c r="BG461" s="15"/>
    </row>
    <row r="462" spans="1:59" ht="14.25" customHeight="1" x14ac:dyDescent="0.3">
      <c r="A462" s="15"/>
      <c r="B462" s="15"/>
      <c r="C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S462" s="15"/>
      <c r="AT462" s="15"/>
      <c r="AU462" s="15"/>
      <c r="AV462" s="15"/>
      <c r="AX462" s="15"/>
      <c r="AY462" s="15"/>
      <c r="AZ462" s="15"/>
      <c r="BA462" s="15"/>
      <c r="BC462" s="15"/>
      <c r="BF462" s="15"/>
      <c r="BG462" s="15"/>
    </row>
    <row r="463" spans="1:59" ht="14.25" customHeight="1" x14ac:dyDescent="0.3">
      <c r="A463" s="15"/>
      <c r="B463" s="15"/>
      <c r="C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S463" s="15"/>
      <c r="AT463" s="15"/>
      <c r="AU463" s="15"/>
      <c r="AV463" s="15"/>
      <c r="AX463" s="15"/>
      <c r="AY463" s="15"/>
      <c r="AZ463" s="15"/>
      <c r="BA463" s="15"/>
      <c r="BC463" s="15"/>
      <c r="BF463" s="15"/>
      <c r="BG463" s="15"/>
    </row>
    <row r="464" spans="1:59" ht="14.25" customHeight="1" x14ac:dyDescent="0.3">
      <c r="A464" s="15"/>
      <c r="B464" s="15"/>
      <c r="C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S464" s="15"/>
      <c r="AT464" s="15"/>
      <c r="AU464" s="15"/>
      <c r="AV464" s="15"/>
      <c r="AX464" s="15"/>
      <c r="AY464" s="15"/>
      <c r="AZ464" s="15"/>
      <c r="BA464" s="15"/>
      <c r="BC464" s="15"/>
      <c r="BF464" s="15"/>
      <c r="BG464" s="15"/>
    </row>
    <row r="465" spans="1:59" ht="14.25" customHeight="1" x14ac:dyDescent="0.3">
      <c r="A465" s="15"/>
      <c r="B465" s="15"/>
      <c r="C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S465" s="15"/>
      <c r="AT465" s="15"/>
      <c r="AU465" s="15"/>
      <c r="AV465" s="15"/>
      <c r="AX465" s="15"/>
      <c r="AY465" s="15"/>
      <c r="AZ465" s="15"/>
      <c r="BA465" s="15"/>
      <c r="BC465" s="15"/>
      <c r="BF465" s="15"/>
      <c r="BG465" s="15"/>
    </row>
    <row r="466" spans="1:59" ht="14.25" customHeight="1" x14ac:dyDescent="0.3">
      <c r="A466" s="15"/>
      <c r="B466" s="15"/>
      <c r="C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S466" s="15"/>
      <c r="AT466" s="15"/>
      <c r="AU466" s="15"/>
      <c r="AV466" s="15"/>
      <c r="AX466" s="15"/>
      <c r="AY466" s="15"/>
      <c r="AZ466" s="15"/>
      <c r="BA466" s="15"/>
      <c r="BC466" s="15"/>
      <c r="BF466" s="15"/>
      <c r="BG466" s="15"/>
    </row>
    <row r="467" spans="1:59" ht="14.25" customHeight="1" x14ac:dyDescent="0.3">
      <c r="A467" s="15"/>
      <c r="B467" s="15"/>
      <c r="C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S467" s="15"/>
      <c r="AT467" s="15"/>
      <c r="AU467" s="15"/>
      <c r="AV467" s="15"/>
      <c r="AX467" s="15"/>
      <c r="AY467" s="15"/>
      <c r="AZ467" s="15"/>
      <c r="BA467" s="15"/>
      <c r="BC467" s="15"/>
      <c r="BF467" s="15"/>
      <c r="BG467" s="15"/>
    </row>
    <row r="468" spans="1:59" ht="14.25" customHeight="1" x14ac:dyDescent="0.3">
      <c r="A468" s="15"/>
      <c r="B468" s="15"/>
      <c r="C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S468" s="15"/>
      <c r="AT468" s="15"/>
      <c r="AU468" s="15"/>
      <c r="AV468" s="15"/>
      <c r="AX468" s="15"/>
      <c r="AY468" s="15"/>
      <c r="AZ468" s="15"/>
      <c r="BA468" s="15"/>
      <c r="BC468" s="15"/>
      <c r="BF468" s="15"/>
      <c r="BG468" s="15"/>
    </row>
    <row r="469" spans="1:59" ht="14.25" customHeight="1" x14ac:dyDescent="0.3">
      <c r="A469" s="15"/>
      <c r="B469" s="15"/>
      <c r="C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S469" s="15"/>
      <c r="AT469" s="15"/>
      <c r="AU469" s="15"/>
      <c r="AV469" s="15"/>
      <c r="AX469" s="15"/>
      <c r="AY469" s="15"/>
      <c r="AZ469" s="15"/>
      <c r="BA469" s="15"/>
      <c r="BC469" s="15"/>
      <c r="BF469" s="15"/>
      <c r="BG469" s="15"/>
    </row>
    <row r="470" spans="1:59" ht="14.25" customHeight="1" x14ac:dyDescent="0.3">
      <c r="A470" s="15"/>
      <c r="B470" s="15"/>
      <c r="C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S470" s="15"/>
      <c r="AT470" s="15"/>
      <c r="AU470" s="15"/>
      <c r="AV470" s="15"/>
      <c r="AX470" s="15"/>
      <c r="AY470" s="15"/>
      <c r="AZ470" s="15"/>
      <c r="BA470" s="15"/>
      <c r="BC470" s="15"/>
      <c r="BF470" s="15"/>
      <c r="BG470" s="15"/>
    </row>
    <row r="471" spans="1:59" ht="14.25" customHeight="1" x14ac:dyDescent="0.3">
      <c r="A471" s="15"/>
      <c r="B471" s="15"/>
      <c r="C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S471" s="15"/>
      <c r="AT471" s="15"/>
      <c r="AU471" s="15"/>
      <c r="AV471" s="15"/>
      <c r="AX471" s="15"/>
      <c r="AY471" s="15"/>
      <c r="AZ471" s="15"/>
      <c r="BA471" s="15"/>
      <c r="BC471" s="15"/>
      <c r="BF471" s="15"/>
      <c r="BG471" s="15"/>
    </row>
    <row r="472" spans="1:59" ht="14.25" customHeight="1" x14ac:dyDescent="0.3">
      <c r="A472" s="15"/>
      <c r="B472" s="15"/>
      <c r="C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S472" s="15"/>
      <c r="AT472" s="15"/>
      <c r="AU472" s="15"/>
      <c r="AV472" s="15"/>
      <c r="AX472" s="15"/>
      <c r="AY472" s="15"/>
      <c r="AZ472" s="15"/>
      <c r="BA472" s="15"/>
      <c r="BC472" s="15"/>
      <c r="BF472" s="15"/>
      <c r="BG472" s="15"/>
    </row>
    <row r="473" spans="1:59" ht="14.25" customHeight="1" x14ac:dyDescent="0.3">
      <c r="A473" s="15"/>
      <c r="B473" s="15"/>
      <c r="C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S473" s="15"/>
      <c r="AT473" s="15"/>
      <c r="AU473" s="15"/>
      <c r="AV473" s="15"/>
      <c r="AX473" s="15"/>
      <c r="AY473" s="15"/>
      <c r="AZ473" s="15"/>
      <c r="BA473" s="15"/>
      <c r="BC473" s="15"/>
      <c r="BF473" s="15"/>
      <c r="BG473" s="15"/>
    </row>
    <row r="474" spans="1:59" ht="14.25" customHeight="1" x14ac:dyDescent="0.3">
      <c r="A474" s="15"/>
      <c r="B474" s="15"/>
      <c r="C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S474" s="15"/>
      <c r="AT474" s="15"/>
      <c r="AU474" s="15"/>
      <c r="AV474" s="15"/>
      <c r="AX474" s="15"/>
      <c r="AY474" s="15"/>
      <c r="AZ474" s="15"/>
      <c r="BA474" s="15"/>
      <c r="BC474" s="15"/>
      <c r="BF474" s="15"/>
      <c r="BG474" s="15"/>
    </row>
    <row r="475" spans="1:59" ht="14.25" customHeight="1" x14ac:dyDescent="0.3">
      <c r="A475" s="15"/>
      <c r="B475" s="15"/>
      <c r="C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S475" s="15"/>
      <c r="AT475" s="15"/>
      <c r="AU475" s="15"/>
      <c r="AV475" s="15"/>
      <c r="AX475" s="15"/>
      <c r="AY475" s="15"/>
      <c r="AZ475" s="15"/>
      <c r="BA475" s="15"/>
      <c r="BC475" s="15"/>
      <c r="BF475" s="15"/>
      <c r="BG475" s="15"/>
    </row>
    <row r="476" spans="1:59" ht="14.25" customHeight="1" x14ac:dyDescent="0.3">
      <c r="A476" s="15"/>
      <c r="B476" s="15"/>
      <c r="C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S476" s="15"/>
      <c r="AT476" s="15"/>
      <c r="AU476" s="15"/>
      <c r="AV476" s="15"/>
      <c r="AX476" s="15"/>
      <c r="AY476" s="15"/>
      <c r="AZ476" s="15"/>
      <c r="BA476" s="15"/>
      <c r="BC476" s="15"/>
      <c r="BF476" s="15"/>
      <c r="BG476" s="15"/>
    </row>
    <row r="477" spans="1:59" ht="14.25" customHeight="1" x14ac:dyDescent="0.3">
      <c r="A477" s="15"/>
      <c r="B477" s="15"/>
      <c r="C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S477" s="15"/>
      <c r="AT477" s="15"/>
      <c r="AU477" s="15"/>
      <c r="AV477" s="15"/>
      <c r="AX477" s="15"/>
      <c r="AY477" s="15"/>
      <c r="AZ477" s="15"/>
      <c r="BA477" s="15"/>
      <c r="BC477" s="15"/>
      <c r="BF477" s="15"/>
      <c r="BG477" s="15"/>
    </row>
    <row r="478" spans="1:59" ht="14.25" customHeight="1" x14ac:dyDescent="0.3">
      <c r="A478" s="15"/>
      <c r="B478" s="15"/>
      <c r="C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S478" s="15"/>
      <c r="AT478" s="15"/>
      <c r="AU478" s="15"/>
      <c r="AV478" s="15"/>
      <c r="AX478" s="15"/>
      <c r="AY478" s="15"/>
      <c r="AZ478" s="15"/>
      <c r="BA478" s="15"/>
      <c r="BC478" s="15"/>
      <c r="BF478" s="15"/>
      <c r="BG478" s="15"/>
    </row>
    <row r="479" spans="1:59" ht="14.25" customHeight="1" x14ac:dyDescent="0.3">
      <c r="A479" s="15"/>
      <c r="B479" s="15"/>
      <c r="C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S479" s="15"/>
      <c r="AT479" s="15"/>
      <c r="AU479" s="15"/>
      <c r="AV479" s="15"/>
      <c r="AX479" s="15"/>
      <c r="AY479" s="15"/>
      <c r="AZ479" s="15"/>
      <c r="BA479" s="15"/>
      <c r="BC479" s="15"/>
      <c r="BF479" s="15"/>
      <c r="BG479" s="15"/>
    </row>
    <row r="480" spans="1:59" ht="14.25" customHeight="1" x14ac:dyDescent="0.3">
      <c r="A480" s="15"/>
      <c r="B480" s="15"/>
      <c r="C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S480" s="15"/>
      <c r="AT480" s="15"/>
      <c r="AU480" s="15"/>
      <c r="AV480" s="15"/>
      <c r="AX480" s="15"/>
      <c r="AY480" s="15"/>
      <c r="AZ480" s="15"/>
      <c r="BA480" s="15"/>
      <c r="BC480" s="15"/>
      <c r="BF480" s="15"/>
      <c r="BG480" s="15"/>
    </row>
    <row r="481" spans="1:59" ht="14.25" customHeight="1" x14ac:dyDescent="0.3">
      <c r="A481" s="15"/>
      <c r="B481" s="15"/>
      <c r="C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S481" s="15"/>
      <c r="AT481" s="15"/>
      <c r="AU481" s="15"/>
      <c r="AV481" s="15"/>
      <c r="AX481" s="15"/>
      <c r="AY481" s="15"/>
      <c r="AZ481" s="15"/>
      <c r="BA481" s="15"/>
      <c r="BC481" s="15"/>
      <c r="BF481" s="15"/>
      <c r="BG481" s="15"/>
    </row>
    <row r="482" spans="1:59" ht="14.25" customHeight="1" x14ac:dyDescent="0.3">
      <c r="A482" s="15"/>
      <c r="B482" s="15"/>
      <c r="C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S482" s="15"/>
      <c r="AT482" s="15"/>
      <c r="AU482" s="15"/>
      <c r="AV482" s="15"/>
      <c r="AX482" s="15"/>
      <c r="AY482" s="15"/>
      <c r="AZ482" s="15"/>
      <c r="BA482" s="15"/>
      <c r="BC482" s="15"/>
      <c r="BF482" s="15"/>
      <c r="BG482" s="15"/>
    </row>
    <row r="483" spans="1:59" ht="14.25" customHeight="1" x14ac:dyDescent="0.3">
      <c r="A483" s="15"/>
      <c r="B483" s="15"/>
      <c r="C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S483" s="15"/>
      <c r="AT483" s="15"/>
      <c r="AU483" s="15"/>
      <c r="AV483" s="15"/>
      <c r="AX483" s="15"/>
      <c r="AY483" s="15"/>
      <c r="AZ483" s="15"/>
      <c r="BA483" s="15"/>
      <c r="BC483" s="15"/>
      <c r="BF483" s="15"/>
      <c r="BG483" s="15"/>
    </row>
    <row r="484" spans="1:59" ht="14.25" customHeight="1" x14ac:dyDescent="0.3">
      <c r="A484" s="15"/>
      <c r="B484" s="15"/>
      <c r="C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S484" s="15"/>
      <c r="AT484" s="15"/>
      <c r="AU484" s="15"/>
      <c r="AV484" s="15"/>
      <c r="AX484" s="15"/>
      <c r="AY484" s="15"/>
      <c r="AZ484" s="15"/>
      <c r="BA484" s="15"/>
      <c r="BC484" s="15"/>
      <c r="BF484" s="15"/>
      <c r="BG484" s="15"/>
    </row>
    <row r="485" spans="1:59" ht="14.25" customHeight="1" x14ac:dyDescent="0.3">
      <c r="A485" s="15"/>
      <c r="B485" s="15"/>
      <c r="C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S485" s="15"/>
      <c r="AT485" s="15"/>
      <c r="AU485" s="15"/>
      <c r="AV485" s="15"/>
      <c r="AX485" s="15"/>
      <c r="AY485" s="15"/>
      <c r="AZ485" s="15"/>
      <c r="BA485" s="15"/>
      <c r="BC485" s="15"/>
      <c r="BF485" s="15"/>
      <c r="BG485" s="15"/>
    </row>
    <row r="486" spans="1:59" ht="14.25" customHeight="1" x14ac:dyDescent="0.3">
      <c r="A486" s="15"/>
      <c r="B486" s="15"/>
      <c r="C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S486" s="15"/>
      <c r="AT486" s="15"/>
      <c r="AU486" s="15"/>
      <c r="AV486" s="15"/>
      <c r="AX486" s="15"/>
      <c r="AY486" s="15"/>
      <c r="AZ486" s="15"/>
      <c r="BA486" s="15"/>
      <c r="BC486" s="15"/>
      <c r="BF486" s="15"/>
      <c r="BG486" s="15"/>
    </row>
    <row r="487" spans="1:59" ht="14.25" customHeight="1" x14ac:dyDescent="0.3">
      <c r="A487" s="15"/>
      <c r="B487" s="15"/>
      <c r="C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S487" s="15"/>
      <c r="AT487" s="15"/>
      <c r="AU487" s="15"/>
      <c r="AV487" s="15"/>
      <c r="AX487" s="15"/>
      <c r="AY487" s="15"/>
      <c r="AZ487" s="15"/>
      <c r="BA487" s="15"/>
      <c r="BC487" s="15"/>
      <c r="BF487" s="15"/>
      <c r="BG487" s="15"/>
    </row>
    <row r="488" spans="1:59" ht="14.25" customHeight="1" x14ac:dyDescent="0.3">
      <c r="A488" s="15"/>
      <c r="B488" s="15"/>
      <c r="C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S488" s="15"/>
      <c r="AT488" s="15"/>
      <c r="AU488" s="15"/>
      <c r="AV488" s="15"/>
      <c r="AX488" s="15"/>
      <c r="AY488" s="15"/>
      <c r="AZ488" s="15"/>
      <c r="BA488" s="15"/>
      <c r="BC488" s="15"/>
      <c r="BF488" s="15"/>
      <c r="BG488" s="15"/>
    </row>
    <row r="489" spans="1:59" ht="14.25" customHeight="1" x14ac:dyDescent="0.3">
      <c r="A489" s="15"/>
      <c r="B489" s="15"/>
      <c r="C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S489" s="15"/>
      <c r="AT489" s="15"/>
      <c r="AU489" s="15"/>
      <c r="AV489" s="15"/>
      <c r="AX489" s="15"/>
      <c r="AY489" s="15"/>
      <c r="AZ489" s="15"/>
      <c r="BA489" s="15"/>
      <c r="BC489" s="15"/>
      <c r="BF489" s="15"/>
      <c r="BG489" s="15"/>
    </row>
    <row r="490" spans="1:59" ht="14.25" customHeight="1" x14ac:dyDescent="0.3">
      <c r="A490" s="15"/>
      <c r="B490" s="15"/>
      <c r="C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S490" s="15"/>
      <c r="AT490" s="15"/>
      <c r="AU490" s="15"/>
      <c r="AV490" s="15"/>
      <c r="AX490" s="15"/>
      <c r="AY490" s="15"/>
      <c r="AZ490" s="15"/>
      <c r="BA490" s="15"/>
      <c r="BC490" s="15"/>
      <c r="BF490" s="15"/>
      <c r="BG490" s="15"/>
    </row>
    <row r="491" spans="1:59" ht="14.25" customHeight="1" x14ac:dyDescent="0.3">
      <c r="A491" s="15"/>
      <c r="B491" s="15"/>
      <c r="C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S491" s="15"/>
      <c r="AT491" s="15"/>
      <c r="AU491" s="15"/>
      <c r="AV491" s="15"/>
      <c r="AX491" s="15"/>
      <c r="AY491" s="15"/>
      <c r="AZ491" s="15"/>
      <c r="BA491" s="15"/>
      <c r="BC491" s="15"/>
      <c r="BF491" s="15"/>
      <c r="BG491" s="15"/>
    </row>
    <row r="492" spans="1:59" ht="14.25" customHeight="1" x14ac:dyDescent="0.3">
      <c r="A492" s="15"/>
      <c r="B492" s="15"/>
      <c r="C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S492" s="15"/>
      <c r="AT492" s="15"/>
      <c r="AU492" s="15"/>
      <c r="AV492" s="15"/>
      <c r="AX492" s="15"/>
      <c r="AY492" s="15"/>
      <c r="AZ492" s="15"/>
      <c r="BA492" s="15"/>
      <c r="BC492" s="15"/>
      <c r="BF492" s="15"/>
      <c r="BG492" s="15"/>
    </row>
    <row r="493" spans="1:59" ht="14.25" customHeight="1" x14ac:dyDescent="0.3">
      <c r="A493" s="15"/>
      <c r="B493" s="15"/>
      <c r="C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S493" s="15"/>
      <c r="AT493" s="15"/>
      <c r="AU493" s="15"/>
      <c r="AV493" s="15"/>
      <c r="AX493" s="15"/>
      <c r="AY493" s="15"/>
      <c r="AZ493" s="15"/>
      <c r="BA493" s="15"/>
      <c r="BC493" s="15"/>
      <c r="BF493" s="15"/>
      <c r="BG493" s="15"/>
    </row>
    <row r="494" spans="1:59" ht="14.25" customHeight="1" x14ac:dyDescent="0.3">
      <c r="A494" s="15"/>
      <c r="B494" s="15"/>
      <c r="C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S494" s="15"/>
      <c r="AT494" s="15"/>
      <c r="AU494" s="15"/>
      <c r="AV494" s="15"/>
      <c r="AX494" s="15"/>
      <c r="AY494" s="15"/>
      <c r="AZ494" s="15"/>
      <c r="BA494" s="15"/>
      <c r="BC494" s="15"/>
      <c r="BF494" s="15"/>
      <c r="BG494" s="15"/>
    </row>
    <row r="495" spans="1:59" ht="14.25" customHeight="1" x14ac:dyDescent="0.3">
      <c r="A495" s="15"/>
      <c r="B495" s="15"/>
      <c r="C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S495" s="15"/>
      <c r="AT495" s="15"/>
      <c r="AU495" s="15"/>
      <c r="AV495" s="15"/>
      <c r="AX495" s="15"/>
      <c r="AY495" s="15"/>
      <c r="AZ495" s="15"/>
      <c r="BA495" s="15"/>
      <c r="BC495" s="15"/>
      <c r="BF495" s="15"/>
      <c r="BG495" s="15"/>
    </row>
    <row r="496" spans="1:59" ht="14.25" customHeight="1" x14ac:dyDescent="0.3">
      <c r="A496" s="15"/>
      <c r="B496" s="15"/>
      <c r="C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S496" s="15"/>
      <c r="AT496" s="15"/>
      <c r="AU496" s="15"/>
      <c r="AV496" s="15"/>
      <c r="AX496" s="15"/>
      <c r="AY496" s="15"/>
      <c r="AZ496" s="15"/>
      <c r="BA496" s="15"/>
      <c r="BC496" s="15"/>
      <c r="BF496" s="15"/>
      <c r="BG496" s="15"/>
    </row>
    <row r="497" spans="1:59" ht="14.25" customHeight="1" x14ac:dyDescent="0.3">
      <c r="A497" s="15"/>
      <c r="B497" s="15"/>
      <c r="C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S497" s="15"/>
      <c r="AT497" s="15"/>
      <c r="AU497" s="15"/>
      <c r="AV497" s="15"/>
      <c r="AX497" s="15"/>
      <c r="AY497" s="15"/>
      <c r="AZ497" s="15"/>
      <c r="BA497" s="15"/>
      <c r="BC497" s="15"/>
      <c r="BF497" s="15"/>
      <c r="BG497" s="15"/>
    </row>
    <row r="498" spans="1:59" ht="14.25" customHeight="1" x14ac:dyDescent="0.3">
      <c r="A498" s="15"/>
      <c r="B498" s="15"/>
      <c r="C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S498" s="15"/>
      <c r="AT498" s="15"/>
      <c r="AU498" s="15"/>
      <c r="AV498" s="15"/>
      <c r="AX498" s="15"/>
      <c r="AY498" s="15"/>
      <c r="AZ498" s="15"/>
      <c r="BA498" s="15"/>
      <c r="BC498" s="15"/>
      <c r="BF498" s="15"/>
      <c r="BG498" s="15"/>
    </row>
    <row r="499" spans="1:59" ht="14.25" customHeight="1" x14ac:dyDescent="0.3">
      <c r="A499" s="15"/>
      <c r="B499" s="15"/>
      <c r="C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S499" s="15"/>
      <c r="AT499" s="15"/>
      <c r="AU499" s="15"/>
      <c r="AV499" s="15"/>
      <c r="AX499" s="15"/>
      <c r="AY499" s="15"/>
      <c r="AZ499" s="15"/>
      <c r="BA499" s="15"/>
      <c r="BC499" s="15"/>
      <c r="BF499" s="15"/>
      <c r="BG499" s="15"/>
    </row>
    <row r="500" spans="1:59" ht="14.25" customHeight="1" x14ac:dyDescent="0.3">
      <c r="A500" s="15"/>
      <c r="B500" s="15"/>
      <c r="C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S500" s="15"/>
      <c r="AT500" s="15"/>
      <c r="AU500" s="15"/>
      <c r="AV500" s="15"/>
      <c r="AX500" s="15"/>
      <c r="AY500" s="15"/>
      <c r="AZ500" s="15"/>
      <c r="BA500" s="15"/>
      <c r="BC500" s="15"/>
      <c r="BF500" s="15"/>
      <c r="BG500" s="15"/>
    </row>
    <row r="501" spans="1:59" ht="14.25" customHeight="1" x14ac:dyDescent="0.3">
      <c r="A501" s="15"/>
      <c r="B501" s="15"/>
      <c r="C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S501" s="15"/>
      <c r="AT501" s="15"/>
      <c r="AU501" s="15"/>
      <c r="AV501" s="15"/>
      <c r="AX501" s="15"/>
      <c r="AY501" s="15"/>
      <c r="AZ501" s="15"/>
      <c r="BA501" s="15"/>
      <c r="BC501" s="15"/>
      <c r="BF501" s="15"/>
      <c r="BG501" s="15"/>
    </row>
    <row r="502" spans="1:59" ht="14.25" customHeight="1" x14ac:dyDescent="0.3">
      <c r="A502" s="15"/>
      <c r="B502" s="15"/>
      <c r="C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S502" s="15"/>
      <c r="AT502" s="15"/>
      <c r="AU502" s="15"/>
      <c r="AV502" s="15"/>
      <c r="AX502" s="15"/>
      <c r="AY502" s="15"/>
      <c r="AZ502" s="15"/>
      <c r="BA502" s="15"/>
      <c r="BC502" s="15"/>
      <c r="BF502" s="15"/>
      <c r="BG502" s="15"/>
    </row>
    <row r="503" spans="1:59" ht="14.25" customHeight="1" x14ac:dyDescent="0.3">
      <c r="A503" s="15"/>
      <c r="B503" s="15"/>
      <c r="C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S503" s="15"/>
      <c r="AT503" s="15"/>
      <c r="AU503" s="15"/>
      <c r="AV503" s="15"/>
      <c r="AX503" s="15"/>
      <c r="AY503" s="15"/>
      <c r="AZ503" s="15"/>
      <c r="BA503" s="15"/>
      <c r="BC503" s="15"/>
      <c r="BF503" s="15"/>
      <c r="BG503" s="15"/>
    </row>
    <row r="504" spans="1:59" ht="14.25" customHeight="1" x14ac:dyDescent="0.3">
      <c r="A504" s="15"/>
      <c r="B504" s="15"/>
      <c r="C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S504" s="15"/>
      <c r="AT504" s="15"/>
      <c r="AU504" s="15"/>
      <c r="AV504" s="15"/>
      <c r="AX504" s="15"/>
      <c r="AY504" s="15"/>
      <c r="AZ504" s="15"/>
      <c r="BA504" s="15"/>
      <c r="BC504" s="15"/>
      <c r="BF504" s="15"/>
      <c r="BG504" s="15"/>
    </row>
    <row r="505" spans="1:59" ht="14.25" customHeight="1" x14ac:dyDescent="0.3">
      <c r="A505" s="15"/>
      <c r="B505" s="15"/>
      <c r="C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S505" s="15"/>
      <c r="AT505" s="15"/>
      <c r="AU505" s="15"/>
      <c r="AV505" s="15"/>
      <c r="AX505" s="15"/>
      <c r="AY505" s="15"/>
      <c r="AZ505" s="15"/>
      <c r="BA505" s="15"/>
      <c r="BC505" s="15"/>
      <c r="BF505" s="15"/>
      <c r="BG505" s="15"/>
    </row>
    <row r="506" spans="1:59" ht="14.25" customHeight="1" x14ac:dyDescent="0.3">
      <c r="A506" s="15"/>
      <c r="B506" s="15"/>
      <c r="C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S506" s="15"/>
      <c r="AT506" s="15"/>
      <c r="AU506" s="15"/>
      <c r="AV506" s="15"/>
      <c r="AX506" s="15"/>
      <c r="AY506" s="15"/>
      <c r="AZ506" s="15"/>
      <c r="BA506" s="15"/>
      <c r="BC506" s="15"/>
      <c r="BF506" s="15"/>
      <c r="BG506" s="15"/>
    </row>
    <row r="507" spans="1:59" ht="14.25" customHeight="1" x14ac:dyDescent="0.3">
      <c r="A507" s="15"/>
      <c r="B507" s="15"/>
      <c r="C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S507" s="15"/>
      <c r="AT507" s="15"/>
      <c r="AU507" s="15"/>
      <c r="AV507" s="15"/>
      <c r="AX507" s="15"/>
      <c r="AY507" s="15"/>
      <c r="AZ507" s="15"/>
      <c r="BA507" s="15"/>
      <c r="BC507" s="15"/>
      <c r="BF507" s="15"/>
      <c r="BG507" s="15"/>
    </row>
    <row r="508" spans="1:59" ht="14.25" customHeight="1" x14ac:dyDescent="0.3">
      <c r="A508" s="15"/>
      <c r="B508" s="15"/>
      <c r="C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S508" s="15"/>
      <c r="AT508" s="15"/>
      <c r="AU508" s="15"/>
      <c r="AV508" s="15"/>
      <c r="AX508" s="15"/>
      <c r="AY508" s="15"/>
      <c r="AZ508" s="15"/>
      <c r="BA508" s="15"/>
      <c r="BC508" s="15"/>
      <c r="BF508" s="15"/>
      <c r="BG508" s="15"/>
    </row>
    <row r="509" spans="1:59" ht="14.25" customHeight="1" x14ac:dyDescent="0.3">
      <c r="A509" s="15"/>
      <c r="B509" s="15"/>
      <c r="C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S509" s="15"/>
      <c r="AT509" s="15"/>
      <c r="AU509" s="15"/>
      <c r="AV509" s="15"/>
      <c r="AX509" s="15"/>
      <c r="AY509" s="15"/>
      <c r="AZ509" s="15"/>
      <c r="BA509" s="15"/>
      <c r="BC509" s="15"/>
      <c r="BF509" s="15"/>
      <c r="BG509" s="15"/>
    </row>
    <row r="510" spans="1:59" ht="14.25" customHeight="1" x14ac:dyDescent="0.3">
      <c r="A510" s="15"/>
      <c r="B510" s="15"/>
      <c r="C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S510" s="15"/>
      <c r="AT510" s="15"/>
      <c r="AU510" s="15"/>
      <c r="AV510" s="15"/>
      <c r="AX510" s="15"/>
      <c r="AY510" s="15"/>
      <c r="AZ510" s="15"/>
      <c r="BA510" s="15"/>
      <c r="BC510" s="15"/>
      <c r="BF510" s="15"/>
      <c r="BG510" s="15"/>
    </row>
    <row r="511" spans="1:59" ht="14.25" customHeight="1" x14ac:dyDescent="0.3">
      <c r="A511" s="15"/>
      <c r="B511" s="15"/>
      <c r="C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S511" s="15"/>
      <c r="AT511" s="15"/>
      <c r="AU511" s="15"/>
      <c r="AV511" s="15"/>
      <c r="AX511" s="15"/>
      <c r="AY511" s="15"/>
      <c r="AZ511" s="15"/>
      <c r="BA511" s="15"/>
      <c r="BC511" s="15"/>
      <c r="BF511" s="15"/>
      <c r="BG511" s="15"/>
    </row>
    <row r="512" spans="1:59" ht="14.25" customHeight="1" x14ac:dyDescent="0.3">
      <c r="A512" s="15"/>
      <c r="B512" s="15"/>
      <c r="C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S512" s="15"/>
      <c r="AT512" s="15"/>
      <c r="AU512" s="15"/>
      <c r="AV512" s="15"/>
      <c r="AX512" s="15"/>
      <c r="AY512" s="15"/>
      <c r="AZ512" s="15"/>
      <c r="BA512" s="15"/>
      <c r="BC512" s="15"/>
      <c r="BF512" s="15"/>
      <c r="BG512" s="15"/>
    </row>
    <row r="513" spans="1:59" ht="14.25" customHeight="1" x14ac:dyDescent="0.3">
      <c r="A513" s="15"/>
      <c r="B513" s="15"/>
      <c r="C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S513" s="15"/>
      <c r="AT513" s="15"/>
      <c r="AU513" s="15"/>
      <c r="AV513" s="15"/>
      <c r="AX513" s="15"/>
      <c r="AY513" s="15"/>
      <c r="AZ513" s="15"/>
      <c r="BA513" s="15"/>
      <c r="BC513" s="15"/>
      <c r="BF513" s="15"/>
      <c r="BG513" s="15"/>
    </row>
    <row r="514" spans="1:59" ht="14.25" customHeight="1" x14ac:dyDescent="0.3">
      <c r="A514" s="15"/>
      <c r="B514" s="15"/>
      <c r="C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S514" s="15"/>
      <c r="AT514" s="15"/>
      <c r="AU514" s="15"/>
      <c r="AV514" s="15"/>
      <c r="AX514" s="15"/>
      <c r="AY514" s="15"/>
      <c r="AZ514" s="15"/>
      <c r="BA514" s="15"/>
      <c r="BC514" s="15"/>
      <c r="BF514" s="15"/>
      <c r="BG514" s="15"/>
    </row>
    <row r="515" spans="1:59" ht="14.25" customHeight="1" x14ac:dyDescent="0.3">
      <c r="A515" s="15"/>
      <c r="B515" s="15"/>
      <c r="C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S515" s="15"/>
      <c r="AT515" s="15"/>
      <c r="AU515" s="15"/>
      <c r="AV515" s="15"/>
      <c r="AX515" s="15"/>
      <c r="AY515" s="15"/>
      <c r="AZ515" s="15"/>
      <c r="BA515" s="15"/>
      <c r="BC515" s="15"/>
      <c r="BF515" s="15"/>
      <c r="BG515" s="15"/>
    </row>
    <row r="516" spans="1:59" ht="14.25" customHeight="1" x14ac:dyDescent="0.3">
      <c r="A516" s="15"/>
      <c r="B516" s="15"/>
      <c r="C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S516" s="15"/>
      <c r="AT516" s="15"/>
      <c r="AU516" s="15"/>
      <c r="AV516" s="15"/>
      <c r="AX516" s="15"/>
      <c r="AY516" s="15"/>
      <c r="AZ516" s="15"/>
      <c r="BA516" s="15"/>
      <c r="BC516" s="15"/>
      <c r="BF516" s="15"/>
      <c r="BG516" s="15"/>
    </row>
    <row r="517" spans="1:59" ht="14.25" customHeight="1" x14ac:dyDescent="0.3">
      <c r="A517" s="15"/>
      <c r="B517" s="15"/>
      <c r="C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S517" s="15"/>
      <c r="AT517" s="15"/>
      <c r="AU517" s="15"/>
      <c r="AV517" s="15"/>
      <c r="AX517" s="15"/>
      <c r="AY517" s="15"/>
      <c r="AZ517" s="15"/>
      <c r="BA517" s="15"/>
      <c r="BC517" s="15"/>
      <c r="BF517" s="15"/>
      <c r="BG517" s="15"/>
    </row>
    <row r="518" spans="1:59" ht="14.25" customHeight="1" x14ac:dyDescent="0.3">
      <c r="A518" s="15"/>
      <c r="B518" s="15"/>
      <c r="C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S518" s="15"/>
      <c r="AT518" s="15"/>
      <c r="AU518" s="15"/>
      <c r="AV518" s="15"/>
      <c r="AX518" s="15"/>
      <c r="AY518" s="15"/>
      <c r="AZ518" s="15"/>
      <c r="BA518" s="15"/>
      <c r="BC518" s="15"/>
      <c r="BF518" s="15"/>
      <c r="BG518" s="15"/>
    </row>
    <row r="519" spans="1:59" ht="14.25" customHeight="1" x14ac:dyDescent="0.3">
      <c r="A519" s="15"/>
      <c r="B519" s="15"/>
      <c r="C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S519" s="15"/>
      <c r="AT519" s="15"/>
      <c r="AU519" s="15"/>
      <c r="AV519" s="15"/>
      <c r="AX519" s="15"/>
      <c r="AY519" s="15"/>
      <c r="AZ519" s="15"/>
      <c r="BA519" s="15"/>
      <c r="BC519" s="15"/>
      <c r="BF519" s="15"/>
      <c r="BG519" s="15"/>
    </row>
    <row r="520" spans="1:59" ht="14.25" customHeight="1" x14ac:dyDescent="0.3">
      <c r="A520" s="15"/>
      <c r="B520" s="15"/>
      <c r="C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S520" s="15"/>
      <c r="AT520" s="15"/>
      <c r="AU520" s="15"/>
      <c r="AV520" s="15"/>
      <c r="AX520" s="15"/>
      <c r="AY520" s="15"/>
      <c r="AZ520" s="15"/>
      <c r="BA520" s="15"/>
      <c r="BC520" s="15"/>
      <c r="BF520" s="15"/>
      <c r="BG520" s="15"/>
    </row>
    <row r="521" spans="1:59" ht="14.25" customHeight="1" x14ac:dyDescent="0.3">
      <c r="A521" s="15"/>
      <c r="B521" s="15"/>
      <c r="C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S521" s="15"/>
      <c r="AT521" s="15"/>
      <c r="AU521" s="15"/>
      <c r="AV521" s="15"/>
      <c r="AX521" s="15"/>
      <c r="AY521" s="15"/>
      <c r="AZ521" s="15"/>
      <c r="BA521" s="15"/>
      <c r="BC521" s="15"/>
      <c r="BF521" s="15"/>
      <c r="BG521" s="15"/>
    </row>
    <row r="522" spans="1:59" ht="14.25" customHeight="1" x14ac:dyDescent="0.3">
      <c r="A522" s="15"/>
      <c r="B522" s="15"/>
      <c r="C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S522" s="15"/>
      <c r="AT522" s="15"/>
      <c r="AU522" s="15"/>
      <c r="AV522" s="15"/>
      <c r="AX522" s="15"/>
      <c r="AY522" s="15"/>
      <c r="AZ522" s="15"/>
      <c r="BA522" s="15"/>
      <c r="BC522" s="15"/>
      <c r="BF522" s="15"/>
      <c r="BG522" s="15"/>
    </row>
    <row r="523" spans="1:59" ht="14.25" customHeight="1" x14ac:dyDescent="0.3">
      <c r="A523" s="15"/>
      <c r="B523" s="15"/>
      <c r="C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S523" s="15"/>
      <c r="AT523" s="15"/>
      <c r="AU523" s="15"/>
      <c r="AV523" s="15"/>
      <c r="AX523" s="15"/>
      <c r="AY523" s="15"/>
      <c r="AZ523" s="15"/>
      <c r="BA523" s="15"/>
      <c r="BC523" s="15"/>
      <c r="BF523" s="15"/>
      <c r="BG523" s="15"/>
    </row>
    <row r="524" spans="1:59" ht="14.25" customHeight="1" x14ac:dyDescent="0.3">
      <c r="A524" s="15"/>
      <c r="B524" s="15"/>
      <c r="C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S524" s="15"/>
      <c r="AT524" s="15"/>
      <c r="AU524" s="15"/>
      <c r="AV524" s="15"/>
      <c r="AX524" s="15"/>
      <c r="AY524" s="15"/>
      <c r="AZ524" s="15"/>
      <c r="BA524" s="15"/>
      <c r="BC524" s="15"/>
      <c r="BF524" s="15"/>
      <c r="BG524" s="15"/>
    </row>
    <row r="525" spans="1:59" ht="14.25" customHeight="1" x14ac:dyDescent="0.3">
      <c r="A525" s="15"/>
      <c r="B525" s="15"/>
      <c r="C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S525" s="15"/>
      <c r="AT525" s="15"/>
      <c r="AU525" s="15"/>
      <c r="AV525" s="15"/>
      <c r="AX525" s="15"/>
      <c r="AY525" s="15"/>
      <c r="AZ525" s="15"/>
      <c r="BA525" s="15"/>
      <c r="BC525" s="15"/>
      <c r="BF525" s="15"/>
      <c r="BG525" s="15"/>
    </row>
    <row r="526" spans="1:59" ht="14.25" customHeight="1" x14ac:dyDescent="0.3">
      <c r="A526" s="15"/>
      <c r="B526" s="15"/>
      <c r="C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S526" s="15"/>
      <c r="AT526" s="15"/>
      <c r="AU526" s="15"/>
      <c r="AV526" s="15"/>
      <c r="AX526" s="15"/>
      <c r="AY526" s="15"/>
      <c r="AZ526" s="15"/>
      <c r="BA526" s="15"/>
      <c r="BC526" s="15"/>
      <c r="BF526" s="15"/>
      <c r="BG526" s="15"/>
    </row>
    <row r="527" spans="1:59" ht="14.25" customHeight="1" x14ac:dyDescent="0.3">
      <c r="A527" s="15"/>
      <c r="B527" s="15"/>
      <c r="C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S527" s="15"/>
      <c r="AT527" s="15"/>
      <c r="AU527" s="15"/>
      <c r="AV527" s="15"/>
      <c r="AX527" s="15"/>
      <c r="AY527" s="15"/>
      <c r="AZ527" s="15"/>
      <c r="BA527" s="15"/>
      <c r="BC527" s="15"/>
      <c r="BF527" s="15"/>
      <c r="BG527" s="15"/>
    </row>
    <row r="528" spans="1:59" ht="14.25" customHeight="1" x14ac:dyDescent="0.3">
      <c r="A528" s="15"/>
      <c r="B528" s="15"/>
      <c r="C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S528" s="15"/>
      <c r="AT528" s="15"/>
      <c r="AU528" s="15"/>
      <c r="AV528" s="15"/>
      <c r="AX528" s="15"/>
      <c r="AY528" s="15"/>
      <c r="AZ528" s="15"/>
      <c r="BA528" s="15"/>
      <c r="BC528" s="15"/>
      <c r="BF528" s="15"/>
      <c r="BG528" s="15"/>
    </row>
    <row r="529" spans="1:59" ht="14.25" customHeight="1" x14ac:dyDescent="0.3">
      <c r="A529" s="15"/>
      <c r="B529" s="15"/>
      <c r="C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S529" s="15"/>
      <c r="AT529" s="15"/>
      <c r="AU529" s="15"/>
      <c r="AV529" s="15"/>
      <c r="AX529" s="15"/>
      <c r="AY529" s="15"/>
      <c r="AZ529" s="15"/>
      <c r="BA529" s="15"/>
      <c r="BC529" s="15"/>
      <c r="BF529" s="15"/>
      <c r="BG529" s="15"/>
    </row>
    <row r="530" spans="1:59" ht="14.25" customHeight="1" x14ac:dyDescent="0.3">
      <c r="A530" s="15"/>
      <c r="B530" s="15"/>
      <c r="C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S530" s="15"/>
      <c r="AT530" s="15"/>
      <c r="AU530" s="15"/>
      <c r="AV530" s="15"/>
      <c r="AX530" s="15"/>
      <c r="AY530" s="15"/>
      <c r="AZ530" s="15"/>
      <c r="BA530" s="15"/>
      <c r="BC530" s="15"/>
      <c r="BF530" s="15"/>
      <c r="BG530" s="15"/>
    </row>
    <row r="531" spans="1:59" ht="14.25" customHeight="1" x14ac:dyDescent="0.3">
      <c r="A531" s="15"/>
      <c r="B531" s="15"/>
      <c r="C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S531" s="15"/>
      <c r="AT531" s="15"/>
      <c r="AU531" s="15"/>
      <c r="AV531" s="15"/>
      <c r="AX531" s="15"/>
      <c r="AY531" s="15"/>
      <c r="AZ531" s="15"/>
      <c r="BA531" s="15"/>
      <c r="BC531" s="15"/>
      <c r="BF531" s="15"/>
      <c r="BG531" s="15"/>
    </row>
    <row r="532" spans="1:59" ht="14.25" customHeight="1" x14ac:dyDescent="0.3">
      <c r="A532" s="15"/>
      <c r="B532" s="15"/>
      <c r="C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S532" s="15"/>
      <c r="AT532" s="15"/>
      <c r="AU532" s="15"/>
      <c r="AV532" s="15"/>
      <c r="AX532" s="15"/>
      <c r="AY532" s="15"/>
      <c r="AZ532" s="15"/>
      <c r="BA532" s="15"/>
      <c r="BC532" s="15"/>
      <c r="BF532" s="15"/>
      <c r="BG532" s="15"/>
    </row>
    <row r="533" spans="1:59" ht="14.25" customHeight="1" x14ac:dyDescent="0.3">
      <c r="A533" s="15"/>
      <c r="B533" s="15"/>
      <c r="C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S533" s="15"/>
      <c r="AT533" s="15"/>
      <c r="AU533" s="15"/>
      <c r="AV533" s="15"/>
      <c r="AX533" s="15"/>
      <c r="AY533" s="15"/>
      <c r="AZ533" s="15"/>
      <c r="BA533" s="15"/>
      <c r="BC533" s="15"/>
      <c r="BF533" s="15"/>
      <c r="BG533" s="15"/>
    </row>
    <row r="534" spans="1:59" ht="14.25" customHeight="1" x14ac:dyDescent="0.3">
      <c r="A534" s="15"/>
      <c r="B534" s="15"/>
      <c r="C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S534" s="15"/>
      <c r="AT534" s="15"/>
      <c r="AU534" s="15"/>
      <c r="AV534" s="15"/>
      <c r="AX534" s="15"/>
      <c r="AY534" s="15"/>
      <c r="AZ534" s="15"/>
      <c r="BA534" s="15"/>
      <c r="BC534" s="15"/>
      <c r="BF534" s="15"/>
      <c r="BG534" s="15"/>
    </row>
    <row r="535" spans="1:59" ht="14.25" customHeight="1" x14ac:dyDescent="0.3">
      <c r="A535" s="15"/>
      <c r="B535" s="15"/>
      <c r="C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S535" s="15"/>
      <c r="AT535" s="15"/>
      <c r="AU535" s="15"/>
      <c r="AV535" s="15"/>
      <c r="AX535" s="15"/>
      <c r="AY535" s="15"/>
      <c r="AZ535" s="15"/>
      <c r="BA535" s="15"/>
      <c r="BC535" s="15"/>
      <c r="BF535" s="15"/>
      <c r="BG535" s="15"/>
    </row>
    <row r="536" spans="1:59" ht="14.25" customHeight="1" x14ac:dyDescent="0.3">
      <c r="A536" s="15"/>
      <c r="B536" s="15"/>
      <c r="C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S536" s="15"/>
      <c r="AT536" s="15"/>
      <c r="AU536" s="15"/>
      <c r="AV536" s="15"/>
      <c r="AX536" s="15"/>
      <c r="AY536" s="15"/>
      <c r="AZ536" s="15"/>
      <c r="BA536" s="15"/>
      <c r="BC536" s="15"/>
      <c r="BF536" s="15"/>
      <c r="BG536" s="15"/>
    </row>
    <row r="537" spans="1:59" ht="14.25" customHeight="1" x14ac:dyDescent="0.3">
      <c r="A537" s="15"/>
      <c r="B537" s="15"/>
      <c r="C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S537" s="15"/>
      <c r="AT537" s="15"/>
      <c r="AU537" s="15"/>
      <c r="AV537" s="15"/>
      <c r="AX537" s="15"/>
      <c r="AY537" s="15"/>
      <c r="AZ537" s="15"/>
      <c r="BA537" s="15"/>
      <c r="BC537" s="15"/>
      <c r="BF537" s="15"/>
      <c r="BG537" s="15"/>
    </row>
    <row r="538" spans="1:59" ht="14.25" customHeight="1" x14ac:dyDescent="0.3">
      <c r="A538" s="15"/>
      <c r="B538" s="15"/>
      <c r="C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S538" s="15"/>
      <c r="AT538" s="15"/>
      <c r="AU538" s="15"/>
      <c r="AV538" s="15"/>
      <c r="AX538" s="15"/>
      <c r="AY538" s="15"/>
      <c r="AZ538" s="15"/>
      <c r="BA538" s="15"/>
      <c r="BC538" s="15"/>
      <c r="BF538" s="15"/>
      <c r="BG538" s="15"/>
    </row>
    <row r="539" spans="1:59" ht="14.25" customHeight="1" x14ac:dyDescent="0.3">
      <c r="A539" s="15"/>
      <c r="B539" s="15"/>
      <c r="C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S539" s="15"/>
      <c r="AT539" s="15"/>
      <c r="AU539" s="15"/>
      <c r="AV539" s="15"/>
      <c r="AX539" s="15"/>
      <c r="AY539" s="15"/>
      <c r="AZ539" s="15"/>
      <c r="BA539" s="15"/>
      <c r="BC539" s="15"/>
      <c r="BF539" s="15"/>
      <c r="BG539" s="15"/>
    </row>
    <row r="540" spans="1:59" ht="14.25" customHeight="1" x14ac:dyDescent="0.3">
      <c r="A540" s="15"/>
      <c r="B540" s="15"/>
      <c r="C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S540" s="15"/>
      <c r="AT540" s="15"/>
      <c r="AU540" s="15"/>
      <c r="AV540" s="15"/>
      <c r="AX540" s="15"/>
      <c r="AY540" s="15"/>
      <c r="AZ540" s="15"/>
      <c r="BA540" s="15"/>
      <c r="BC540" s="15"/>
      <c r="BF540" s="15"/>
      <c r="BG540" s="15"/>
    </row>
    <row r="541" spans="1:59" ht="14.25" customHeight="1" x14ac:dyDescent="0.3">
      <c r="A541" s="15"/>
      <c r="B541" s="15"/>
      <c r="C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S541" s="15"/>
      <c r="AT541" s="15"/>
      <c r="AU541" s="15"/>
      <c r="AV541" s="15"/>
      <c r="AX541" s="15"/>
      <c r="AY541" s="15"/>
      <c r="AZ541" s="15"/>
      <c r="BA541" s="15"/>
      <c r="BC541" s="15"/>
      <c r="BF541" s="15"/>
      <c r="BG541" s="15"/>
    </row>
    <row r="542" spans="1:59" ht="14.25" customHeight="1" x14ac:dyDescent="0.3">
      <c r="A542" s="15"/>
      <c r="B542" s="15"/>
      <c r="C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S542" s="15"/>
      <c r="AT542" s="15"/>
      <c r="AU542" s="15"/>
      <c r="AV542" s="15"/>
      <c r="AX542" s="15"/>
      <c r="AY542" s="15"/>
      <c r="AZ542" s="15"/>
      <c r="BA542" s="15"/>
      <c r="BC542" s="15"/>
      <c r="BF542" s="15"/>
      <c r="BG542" s="15"/>
    </row>
    <row r="543" spans="1:59" ht="14.25" customHeight="1" x14ac:dyDescent="0.3">
      <c r="A543" s="15"/>
      <c r="B543" s="15"/>
      <c r="C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S543" s="15"/>
      <c r="AT543" s="15"/>
      <c r="AU543" s="15"/>
      <c r="AV543" s="15"/>
      <c r="AX543" s="15"/>
      <c r="AY543" s="15"/>
      <c r="AZ543" s="15"/>
      <c r="BA543" s="15"/>
      <c r="BC543" s="15"/>
      <c r="BF543" s="15"/>
      <c r="BG543" s="15"/>
    </row>
    <row r="544" spans="1:59" ht="14.25" customHeight="1" x14ac:dyDescent="0.3">
      <c r="A544" s="15"/>
      <c r="B544" s="15"/>
      <c r="C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S544" s="15"/>
      <c r="AT544" s="15"/>
      <c r="AU544" s="15"/>
      <c r="AV544" s="15"/>
      <c r="AX544" s="15"/>
      <c r="AY544" s="15"/>
      <c r="AZ544" s="15"/>
      <c r="BA544" s="15"/>
      <c r="BC544" s="15"/>
      <c r="BF544" s="15"/>
      <c r="BG544" s="15"/>
    </row>
    <row r="545" spans="1:59" ht="14.25" customHeight="1" x14ac:dyDescent="0.3">
      <c r="A545" s="15"/>
      <c r="B545" s="15"/>
      <c r="C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S545" s="15"/>
      <c r="AT545" s="15"/>
      <c r="AU545" s="15"/>
      <c r="AV545" s="15"/>
      <c r="AX545" s="15"/>
      <c r="AY545" s="15"/>
      <c r="AZ545" s="15"/>
      <c r="BA545" s="15"/>
      <c r="BC545" s="15"/>
      <c r="BF545" s="15"/>
      <c r="BG545" s="15"/>
    </row>
    <row r="546" spans="1:59" ht="14.25" customHeight="1" x14ac:dyDescent="0.3">
      <c r="A546" s="15"/>
      <c r="B546" s="15"/>
      <c r="C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S546" s="15"/>
      <c r="AT546" s="15"/>
      <c r="AU546" s="15"/>
      <c r="AV546" s="15"/>
      <c r="AX546" s="15"/>
      <c r="AY546" s="15"/>
      <c r="AZ546" s="15"/>
      <c r="BA546" s="15"/>
      <c r="BC546" s="15"/>
      <c r="BF546" s="15"/>
      <c r="BG546" s="15"/>
    </row>
    <row r="547" spans="1:59" ht="14.25" customHeight="1" x14ac:dyDescent="0.3">
      <c r="A547" s="15"/>
      <c r="B547" s="15"/>
      <c r="C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S547" s="15"/>
      <c r="AT547" s="15"/>
      <c r="AU547" s="15"/>
      <c r="AV547" s="15"/>
      <c r="AX547" s="15"/>
      <c r="AY547" s="15"/>
      <c r="AZ547" s="15"/>
      <c r="BA547" s="15"/>
      <c r="BC547" s="15"/>
      <c r="BF547" s="15"/>
      <c r="BG547" s="15"/>
    </row>
    <row r="548" spans="1:59" ht="14.25" customHeight="1" x14ac:dyDescent="0.3">
      <c r="A548" s="15"/>
      <c r="B548" s="15"/>
      <c r="C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S548" s="15"/>
      <c r="AT548" s="15"/>
      <c r="AU548" s="15"/>
      <c r="AV548" s="15"/>
      <c r="AX548" s="15"/>
      <c r="AY548" s="15"/>
      <c r="AZ548" s="15"/>
      <c r="BA548" s="15"/>
      <c r="BC548" s="15"/>
      <c r="BF548" s="15"/>
      <c r="BG548" s="15"/>
    </row>
    <row r="549" spans="1:59" ht="14.25" customHeight="1" x14ac:dyDescent="0.3">
      <c r="A549" s="15"/>
      <c r="B549" s="15"/>
      <c r="C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S549" s="15"/>
      <c r="AT549" s="15"/>
      <c r="AU549" s="15"/>
      <c r="AV549" s="15"/>
      <c r="AX549" s="15"/>
      <c r="AY549" s="15"/>
      <c r="AZ549" s="15"/>
      <c r="BA549" s="15"/>
      <c r="BC549" s="15"/>
      <c r="BF549" s="15"/>
      <c r="BG549" s="15"/>
    </row>
    <row r="550" spans="1:59" ht="14.25" customHeight="1" x14ac:dyDescent="0.3">
      <c r="A550" s="15"/>
      <c r="B550" s="15"/>
      <c r="C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S550" s="15"/>
      <c r="AT550" s="15"/>
      <c r="AU550" s="15"/>
      <c r="AV550" s="15"/>
      <c r="AX550" s="15"/>
      <c r="AY550" s="15"/>
      <c r="AZ550" s="15"/>
      <c r="BA550" s="15"/>
      <c r="BC550" s="15"/>
      <c r="BF550" s="15"/>
      <c r="BG550" s="15"/>
    </row>
    <row r="551" spans="1:59" ht="14.25" customHeight="1" x14ac:dyDescent="0.3">
      <c r="A551" s="15"/>
      <c r="B551" s="15"/>
      <c r="C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S551" s="15"/>
      <c r="AT551" s="15"/>
      <c r="AU551" s="15"/>
      <c r="AV551" s="15"/>
      <c r="AX551" s="15"/>
      <c r="AY551" s="15"/>
      <c r="AZ551" s="15"/>
      <c r="BA551" s="15"/>
      <c r="BC551" s="15"/>
      <c r="BF551" s="15"/>
      <c r="BG551" s="15"/>
    </row>
    <row r="552" spans="1:59" ht="14.25" customHeight="1" x14ac:dyDescent="0.3">
      <c r="A552" s="15"/>
      <c r="B552" s="15"/>
      <c r="C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S552" s="15"/>
      <c r="AT552" s="15"/>
      <c r="AU552" s="15"/>
      <c r="AV552" s="15"/>
      <c r="AX552" s="15"/>
      <c r="AY552" s="15"/>
      <c r="AZ552" s="15"/>
      <c r="BA552" s="15"/>
      <c r="BC552" s="15"/>
      <c r="BF552" s="15"/>
      <c r="BG552" s="15"/>
    </row>
    <row r="553" spans="1:59" ht="14.25" customHeight="1" x14ac:dyDescent="0.3">
      <c r="A553" s="15"/>
      <c r="B553" s="15"/>
      <c r="C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S553" s="15"/>
      <c r="AT553" s="15"/>
      <c r="AU553" s="15"/>
      <c r="AV553" s="15"/>
      <c r="AX553" s="15"/>
      <c r="AY553" s="15"/>
      <c r="AZ553" s="15"/>
      <c r="BA553" s="15"/>
      <c r="BC553" s="15"/>
      <c r="BF553" s="15"/>
      <c r="BG553" s="15"/>
    </row>
    <row r="554" spans="1:59" ht="14.25" customHeight="1" x14ac:dyDescent="0.3">
      <c r="A554" s="15"/>
      <c r="B554" s="15"/>
      <c r="C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S554" s="15"/>
      <c r="AT554" s="15"/>
      <c r="AU554" s="15"/>
      <c r="AV554" s="15"/>
      <c r="AX554" s="15"/>
      <c r="AY554" s="15"/>
      <c r="AZ554" s="15"/>
      <c r="BA554" s="15"/>
      <c r="BC554" s="15"/>
      <c r="BF554" s="15"/>
      <c r="BG554" s="15"/>
    </row>
    <row r="555" spans="1:59" ht="14.25" customHeight="1" x14ac:dyDescent="0.3">
      <c r="A555" s="15"/>
      <c r="B555" s="15"/>
      <c r="C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S555" s="15"/>
      <c r="AT555" s="15"/>
      <c r="AU555" s="15"/>
      <c r="AV555" s="15"/>
      <c r="AX555" s="15"/>
      <c r="AY555" s="15"/>
      <c r="AZ555" s="15"/>
      <c r="BA555" s="15"/>
      <c r="BC555" s="15"/>
      <c r="BF555" s="15"/>
      <c r="BG555" s="15"/>
    </row>
    <row r="556" spans="1:59" ht="14.25" customHeight="1" x14ac:dyDescent="0.3">
      <c r="A556" s="15"/>
      <c r="B556" s="15"/>
      <c r="C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S556" s="15"/>
      <c r="AT556" s="15"/>
      <c r="AU556" s="15"/>
      <c r="AV556" s="15"/>
      <c r="AX556" s="15"/>
      <c r="AY556" s="15"/>
      <c r="AZ556" s="15"/>
      <c r="BA556" s="15"/>
      <c r="BC556" s="15"/>
      <c r="BF556" s="15"/>
      <c r="BG556" s="15"/>
    </row>
    <row r="557" spans="1:59" ht="14.25" customHeight="1" x14ac:dyDescent="0.3">
      <c r="A557" s="15"/>
      <c r="B557" s="15"/>
      <c r="C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S557" s="15"/>
      <c r="AT557" s="15"/>
      <c r="AU557" s="15"/>
      <c r="AV557" s="15"/>
      <c r="AX557" s="15"/>
      <c r="AY557" s="15"/>
      <c r="AZ557" s="15"/>
      <c r="BA557" s="15"/>
      <c r="BC557" s="15"/>
      <c r="BF557" s="15"/>
      <c r="BG557" s="15"/>
    </row>
    <row r="558" spans="1:59" ht="14.25" customHeight="1" x14ac:dyDescent="0.3">
      <c r="A558" s="15"/>
      <c r="B558" s="15"/>
      <c r="C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S558" s="15"/>
      <c r="AT558" s="15"/>
      <c r="AU558" s="15"/>
      <c r="AV558" s="15"/>
      <c r="AX558" s="15"/>
      <c r="AY558" s="15"/>
      <c r="AZ558" s="15"/>
      <c r="BA558" s="15"/>
      <c r="BC558" s="15"/>
      <c r="BF558" s="15"/>
      <c r="BG558" s="15"/>
    </row>
    <row r="559" spans="1:59" ht="14.25" customHeight="1" x14ac:dyDescent="0.3">
      <c r="A559" s="15"/>
      <c r="B559" s="15"/>
      <c r="C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S559" s="15"/>
      <c r="AT559" s="15"/>
      <c r="AU559" s="15"/>
      <c r="AV559" s="15"/>
      <c r="AX559" s="15"/>
      <c r="AY559" s="15"/>
      <c r="AZ559" s="15"/>
      <c r="BA559" s="15"/>
      <c r="BC559" s="15"/>
      <c r="BF559" s="15"/>
      <c r="BG559" s="15"/>
    </row>
    <row r="560" spans="1:59" ht="14.25" customHeight="1" x14ac:dyDescent="0.3">
      <c r="A560" s="15"/>
      <c r="B560" s="15"/>
      <c r="C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S560" s="15"/>
      <c r="AT560" s="15"/>
      <c r="AU560" s="15"/>
      <c r="AV560" s="15"/>
      <c r="AX560" s="15"/>
      <c r="AY560" s="15"/>
      <c r="AZ560" s="15"/>
      <c r="BA560" s="15"/>
      <c r="BC560" s="15"/>
      <c r="BF560" s="15"/>
      <c r="BG560" s="15"/>
    </row>
    <row r="561" spans="1:59" ht="14.25" customHeight="1" x14ac:dyDescent="0.3">
      <c r="A561" s="15"/>
      <c r="B561" s="15"/>
      <c r="C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S561" s="15"/>
      <c r="AT561" s="15"/>
      <c r="AU561" s="15"/>
      <c r="AV561" s="15"/>
      <c r="AX561" s="15"/>
      <c r="AY561" s="15"/>
      <c r="AZ561" s="15"/>
      <c r="BA561" s="15"/>
      <c r="BC561" s="15"/>
      <c r="BF561" s="15"/>
      <c r="BG561" s="15"/>
    </row>
    <row r="562" spans="1:59" ht="14.25" customHeight="1" x14ac:dyDescent="0.3">
      <c r="A562" s="15"/>
      <c r="B562" s="15"/>
      <c r="C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S562" s="15"/>
      <c r="AT562" s="15"/>
      <c r="AU562" s="15"/>
      <c r="AV562" s="15"/>
      <c r="AX562" s="15"/>
      <c r="AY562" s="15"/>
      <c r="AZ562" s="15"/>
      <c r="BA562" s="15"/>
      <c r="BC562" s="15"/>
      <c r="BF562" s="15"/>
      <c r="BG562" s="15"/>
    </row>
    <row r="563" spans="1:59" ht="14.25" customHeight="1" x14ac:dyDescent="0.3">
      <c r="A563" s="15"/>
      <c r="B563" s="15"/>
      <c r="C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S563" s="15"/>
      <c r="AT563" s="15"/>
      <c r="AU563" s="15"/>
      <c r="AV563" s="15"/>
      <c r="AX563" s="15"/>
      <c r="AY563" s="15"/>
      <c r="AZ563" s="15"/>
      <c r="BA563" s="15"/>
      <c r="BC563" s="15"/>
      <c r="BF563" s="15"/>
      <c r="BG563" s="15"/>
    </row>
    <row r="564" spans="1:59" ht="14.25" customHeight="1" x14ac:dyDescent="0.3">
      <c r="A564" s="15"/>
      <c r="B564" s="15"/>
      <c r="C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S564" s="15"/>
      <c r="AT564" s="15"/>
      <c r="AU564" s="15"/>
      <c r="AV564" s="15"/>
      <c r="AX564" s="15"/>
      <c r="AY564" s="15"/>
      <c r="AZ564" s="15"/>
      <c r="BA564" s="15"/>
      <c r="BC564" s="15"/>
      <c r="BF564" s="15"/>
      <c r="BG564" s="15"/>
    </row>
    <row r="565" spans="1:59" ht="14.25" customHeight="1" x14ac:dyDescent="0.3">
      <c r="A565" s="15"/>
      <c r="B565" s="15"/>
      <c r="C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S565" s="15"/>
      <c r="AT565" s="15"/>
      <c r="AU565" s="15"/>
      <c r="AV565" s="15"/>
      <c r="AX565" s="15"/>
      <c r="AY565" s="15"/>
      <c r="AZ565" s="15"/>
      <c r="BA565" s="15"/>
      <c r="BC565" s="15"/>
      <c r="BF565" s="15"/>
      <c r="BG565" s="15"/>
    </row>
    <row r="566" spans="1:59" ht="14.25" customHeight="1" x14ac:dyDescent="0.3">
      <c r="A566" s="15"/>
      <c r="B566" s="15"/>
      <c r="C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S566" s="15"/>
      <c r="AT566" s="15"/>
      <c r="AU566" s="15"/>
      <c r="AV566" s="15"/>
      <c r="AX566" s="15"/>
      <c r="AY566" s="15"/>
      <c r="AZ566" s="15"/>
      <c r="BA566" s="15"/>
      <c r="BC566" s="15"/>
      <c r="BF566" s="15"/>
      <c r="BG566" s="15"/>
    </row>
    <row r="567" spans="1:59" ht="14.25" customHeight="1" x14ac:dyDescent="0.3">
      <c r="A567" s="15"/>
      <c r="B567" s="15"/>
      <c r="C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S567" s="15"/>
      <c r="AT567" s="15"/>
      <c r="AU567" s="15"/>
      <c r="AV567" s="15"/>
      <c r="AX567" s="15"/>
      <c r="AY567" s="15"/>
      <c r="AZ567" s="15"/>
      <c r="BA567" s="15"/>
      <c r="BC567" s="15"/>
      <c r="BF567" s="15"/>
      <c r="BG567" s="15"/>
    </row>
    <row r="568" spans="1:59" ht="14.25" customHeight="1" x14ac:dyDescent="0.3">
      <c r="A568" s="15"/>
      <c r="B568" s="15"/>
      <c r="C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S568" s="15"/>
      <c r="AT568" s="15"/>
      <c r="AU568" s="15"/>
      <c r="AV568" s="15"/>
      <c r="AX568" s="15"/>
      <c r="AY568" s="15"/>
      <c r="AZ568" s="15"/>
      <c r="BA568" s="15"/>
      <c r="BC568" s="15"/>
      <c r="BF568" s="15"/>
      <c r="BG568" s="15"/>
    </row>
    <row r="569" spans="1:59" ht="14.25" customHeight="1" x14ac:dyDescent="0.3">
      <c r="A569" s="15"/>
      <c r="B569" s="15"/>
      <c r="C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S569" s="15"/>
      <c r="AT569" s="15"/>
      <c r="AU569" s="15"/>
      <c r="AV569" s="15"/>
      <c r="AX569" s="15"/>
      <c r="AY569" s="15"/>
      <c r="AZ569" s="15"/>
      <c r="BA569" s="15"/>
      <c r="BC569" s="15"/>
      <c r="BF569" s="15"/>
      <c r="BG569" s="15"/>
    </row>
    <row r="570" spans="1:59" ht="14.25" customHeight="1" x14ac:dyDescent="0.3">
      <c r="A570" s="15"/>
      <c r="B570" s="15"/>
      <c r="C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S570" s="15"/>
      <c r="AT570" s="15"/>
      <c r="AU570" s="15"/>
      <c r="AV570" s="15"/>
      <c r="AX570" s="15"/>
      <c r="AY570" s="15"/>
      <c r="AZ570" s="15"/>
      <c r="BA570" s="15"/>
      <c r="BC570" s="15"/>
      <c r="BF570" s="15"/>
      <c r="BG570" s="15"/>
    </row>
    <row r="571" spans="1:59" ht="14.25" customHeight="1" x14ac:dyDescent="0.3">
      <c r="A571" s="15"/>
      <c r="B571" s="15"/>
      <c r="C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S571" s="15"/>
      <c r="AT571" s="15"/>
      <c r="AU571" s="15"/>
      <c r="AV571" s="15"/>
      <c r="AX571" s="15"/>
      <c r="AY571" s="15"/>
      <c r="AZ571" s="15"/>
      <c r="BA571" s="15"/>
      <c r="BC571" s="15"/>
      <c r="BF571" s="15"/>
      <c r="BG571" s="15"/>
    </row>
    <row r="572" spans="1:59" ht="14.25" customHeight="1" x14ac:dyDescent="0.3">
      <c r="A572" s="15"/>
      <c r="B572" s="15"/>
      <c r="C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S572" s="15"/>
      <c r="AT572" s="15"/>
      <c r="AU572" s="15"/>
      <c r="AV572" s="15"/>
      <c r="AX572" s="15"/>
      <c r="AY572" s="15"/>
      <c r="AZ572" s="15"/>
      <c r="BA572" s="15"/>
      <c r="BC572" s="15"/>
      <c r="BF572" s="15"/>
      <c r="BG572" s="15"/>
    </row>
    <row r="573" spans="1:59" ht="14.25" customHeight="1" x14ac:dyDescent="0.3">
      <c r="A573" s="15"/>
      <c r="B573" s="15"/>
      <c r="C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S573" s="15"/>
      <c r="AT573" s="15"/>
      <c r="AU573" s="15"/>
      <c r="AV573" s="15"/>
      <c r="AX573" s="15"/>
      <c r="AY573" s="15"/>
      <c r="AZ573" s="15"/>
      <c r="BA573" s="15"/>
      <c r="BC573" s="15"/>
      <c r="BF573" s="15"/>
      <c r="BG573" s="15"/>
    </row>
    <row r="574" spans="1:59" ht="14.25" customHeight="1" x14ac:dyDescent="0.3">
      <c r="A574" s="15"/>
      <c r="B574" s="15"/>
      <c r="C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S574" s="15"/>
      <c r="AT574" s="15"/>
      <c r="AU574" s="15"/>
      <c r="AV574" s="15"/>
      <c r="AX574" s="15"/>
      <c r="AY574" s="15"/>
      <c r="AZ574" s="15"/>
      <c r="BA574" s="15"/>
      <c r="BC574" s="15"/>
      <c r="BF574" s="15"/>
      <c r="BG574" s="15"/>
    </row>
    <row r="575" spans="1:59" ht="14.25" customHeight="1" x14ac:dyDescent="0.3">
      <c r="A575" s="15"/>
      <c r="B575" s="15"/>
      <c r="C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S575" s="15"/>
      <c r="AT575" s="15"/>
      <c r="AU575" s="15"/>
      <c r="AV575" s="15"/>
      <c r="AX575" s="15"/>
      <c r="AY575" s="15"/>
      <c r="AZ575" s="15"/>
      <c r="BA575" s="15"/>
      <c r="BC575" s="15"/>
      <c r="BF575" s="15"/>
      <c r="BG575" s="15"/>
    </row>
    <row r="576" spans="1:59" ht="14.25" customHeight="1" x14ac:dyDescent="0.3">
      <c r="A576" s="15"/>
      <c r="B576" s="15"/>
      <c r="C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S576" s="15"/>
      <c r="AT576" s="15"/>
      <c r="AU576" s="15"/>
      <c r="AV576" s="15"/>
      <c r="AX576" s="15"/>
      <c r="AY576" s="15"/>
      <c r="AZ576" s="15"/>
      <c r="BA576" s="15"/>
      <c r="BC576" s="15"/>
      <c r="BF576" s="15"/>
      <c r="BG576" s="15"/>
    </row>
    <row r="577" spans="1:59" ht="14.25" customHeight="1" x14ac:dyDescent="0.3">
      <c r="A577" s="15"/>
      <c r="B577" s="15"/>
      <c r="C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S577" s="15"/>
      <c r="AT577" s="15"/>
      <c r="AU577" s="15"/>
      <c r="AV577" s="15"/>
      <c r="AX577" s="15"/>
      <c r="AY577" s="15"/>
      <c r="AZ577" s="15"/>
      <c r="BA577" s="15"/>
      <c r="BC577" s="15"/>
      <c r="BF577" s="15"/>
      <c r="BG577" s="15"/>
    </row>
    <row r="578" spans="1:59" ht="14.25" customHeight="1" x14ac:dyDescent="0.3">
      <c r="A578" s="15"/>
      <c r="B578" s="15"/>
      <c r="C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S578" s="15"/>
      <c r="AT578" s="15"/>
      <c r="AU578" s="15"/>
      <c r="AV578" s="15"/>
      <c r="AX578" s="15"/>
      <c r="AY578" s="15"/>
      <c r="AZ578" s="15"/>
      <c r="BA578" s="15"/>
      <c r="BC578" s="15"/>
      <c r="BF578" s="15"/>
      <c r="BG578" s="15"/>
    </row>
    <row r="579" spans="1:59" ht="14.25" customHeight="1" x14ac:dyDescent="0.3">
      <c r="A579" s="15"/>
      <c r="B579" s="15"/>
      <c r="C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S579" s="15"/>
      <c r="AT579" s="15"/>
      <c r="AU579" s="15"/>
      <c r="AV579" s="15"/>
      <c r="AX579" s="15"/>
      <c r="AY579" s="15"/>
      <c r="AZ579" s="15"/>
      <c r="BA579" s="15"/>
      <c r="BC579" s="15"/>
      <c r="BF579" s="15"/>
      <c r="BG579" s="15"/>
    </row>
    <row r="580" spans="1:59" ht="14.25" customHeight="1" x14ac:dyDescent="0.3">
      <c r="A580" s="15"/>
      <c r="B580" s="15"/>
      <c r="C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S580" s="15"/>
      <c r="AT580" s="15"/>
      <c r="AU580" s="15"/>
      <c r="AV580" s="15"/>
      <c r="AX580" s="15"/>
      <c r="AY580" s="15"/>
      <c r="AZ580" s="15"/>
      <c r="BA580" s="15"/>
      <c r="BC580" s="15"/>
      <c r="BF580" s="15"/>
      <c r="BG580" s="15"/>
    </row>
    <row r="581" spans="1:59" ht="14.25" customHeight="1" x14ac:dyDescent="0.3">
      <c r="A581" s="15"/>
      <c r="B581" s="15"/>
      <c r="C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S581" s="15"/>
      <c r="AT581" s="15"/>
      <c r="AU581" s="15"/>
      <c r="AV581" s="15"/>
      <c r="AX581" s="15"/>
      <c r="AY581" s="15"/>
      <c r="AZ581" s="15"/>
      <c r="BA581" s="15"/>
      <c r="BC581" s="15"/>
      <c r="BF581" s="15"/>
      <c r="BG581" s="15"/>
    </row>
    <row r="582" spans="1:59" ht="14.25" customHeight="1" x14ac:dyDescent="0.3">
      <c r="A582" s="15"/>
      <c r="B582" s="15"/>
      <c r="C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S582" s="15"/>
      <c r="AT582" s="15"/>
      <c r="AU582" s="15"/>
      <c r="AV582" s="15"/>
      <c r="AX582" s="15"/>
      <c r="AY582" s="15"/>
      <c r="AZ582" s="15"/>
      <c r="BA582" s="15"/>
      <c r="BC582" s="15"/>
      <c r="BF582" s="15"/>
      <c r="BG582" s="15"/>
    </row>
    <row r="583" spans="1:59" ht="14.25" customHeight="1" x14ac:dyDescent="0.3">
      <c r="A583" s="15"/>
      <c r="B583" s="15"/>
      <c r="C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S583" s="15"/>
      <c r="AT583" s="15"/>
      <c r="AU583" s="15"/>
      <c r="AV583" s="15"/>
      <c r="AX583" s="15"/>
      <c r="AY583" s="15"/>
      <c r="AZ583" s="15"/>
      <c r="BA583" s="15"/>
      <c r="BC583" s="15"/>
      <c r="BF583" s="15"/>
      <c r="BG583" s="15"/>
    </row>
    <row r="584" spans="1:59" ht="14.25" customHeight="1" x14ac:dyDescent="0.3">
      <c r="A584" s="15"/>
      <c r="B584" s="15"/>
      <c r="C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S584" s="15"/>
      <c r="AT584" s="15"/>
      <c r="AU584" s="15"/>
      <c r="AV584" s="15"/>
      <c r="AX584" s="15"/>
      <c r="AY584" s="15"/>
      <c r="AZ584" s="15"/>
      <c r="BA584" s="15"/>
      <c r="BC584" s="15"/>
      <c r="BF584" s="15"/>
      <c r="BG584" s="15"/>
    </row>
    <row r="585" spans="1:59" ht="14.25" customHeight="1" x14ac:dyDescent="0.3">
      <c r="A585" s="15"/>
      <c r="B585" s="15"/>
      <c r="C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S585" s="15"/>
      <c r="AT585" s="15"/>
      <c r="AU585" s="15"/>
      <c r="AV585" s="15"/>
      <c r="AX585" s="15"/>
      <c r="AY585" s="15"/>
      <c r="AZ585" s="15"/>
      <c r="BA585" s="15"/>
      <c r="BC585" s="15"/>
      <c r="BF585" s="15"/>
      <c r="BG585" s="15"/>
    </row>
    <row r="586" spans="1:59" ht="14.25" customHeight="1" x14ac:dyDescent="0.3">
      <c r="A586" s="15"/>
      <c r="B586" s="15"/>
      <c r="C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S586" s="15"/>
      <c r="AT586" s="15"/>
      <c r="AU586" s="15"/>
      <c r="AV586" s="15"/>
      <c r="AX586" s="15"/>
      <c r="AY586" s="15"/>
      <c r="AZ586" s="15"/>
      <c r="BA586" s="15"/>
      <c r="BC586" s="15"/>
      <c r="BF586" s="15"/>
      <c r="BG586" s="15"/>
    </row>
    <row r="587" spans="1:59" ht="14.25" customHeight="1" x14ac:dyDescent="0.3">
      <c r="A587" s="15"/>
      <c r="B587" s="15"/>
      <c r="C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S587" s="15"/>
      <c r="AT587" s="15"/>
      <c r="AU587" s="15"/>
      <c r="AV587" s="15"/>
      <c r="AX587" s="15"/>
      <c r="AY587" s="15"/>
      <c r="AZ587" s="15"/>
      <c r="BA587" s="15"/>
      <c r="BC587" s="15"/>
      <c r="BF587" s="15"/>
      <c r="BG587" s="15"/>
    </row>
    <row r="588" spans="1:59" ht="14.25" customHeight="1" x14ac:dyDescent="0.3">
      <c r="A588" s="15"/>
      <c r="B588" s="15"/>
      <c r="C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S588" s="15"/>
      <c r="AT588" s="15"/>
      <c r="AU588" s="15"/>
      <c r="AV588" s="15"/>
      <c r="AX588" s="15"/>
      <c r="AY588" s="15"/>
      <c r="AZ588" s="15"/>
      <c r="BA588" s="15"/>
      <c r="BC588" s="15"/>
      <c r="BF588" s="15"/>
      <c r="BG588" s="15"/>
    </row>
    <row r="589" spans="1:59" ht="14.25" customHeight="1" x14ac:dyDescent="0.3">
      <c r="A589" s="15"/>
      <c r="B589" s="15"/>
      <c r="C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S589" s="15"/>
      <c r="AT589" s="15"/>
      <c r="AU589" s="15"/>
      <c r="AV589" s="15"/>
      <c r="AX589" s="15"/>
      <c r="AY589" s="15"/>
      <c r="AZ589" s="15"/>
      <c r="BA589" s="15"/>
      <c r="BC589" s="15"/>
      <c r="BF589" s="15"/>
      <c r="BG589" s="15"/>
    </row>
    <row r="590" spans="1:59" ht="14.25" customHeight="1" x14ac:dyDescent="0.3">
      <c r="A590" s="15"/>
      <c r="B590" s="15"/>
      <c r="C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S590" s="15"/>
      <c r="AT590" s="15"/>
      <c r="AU590" s="15"/>
      <c r="AV590" s="15"/>
      <c r="AX590" s="15"/>
      <c r="AY590" s="15"/>
      <c r="AZ590" s="15"/>
      <c r="BA590" s="15"/>
      <c r="BC590" s="15"/>
      <c r="BF590" s="15"/>
      <c r="BG590" s="15"/>
    </row>
    <row r="591" spans="1:59" ht="14.25" customHeight="1" x14ac:dyDescent="0.3">
      <c r="A591" s="15"/>
      <c r="B591" s="15"/>
      <c r="C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S591" s="15"/>
      <c r="AT591" s="15"/>
      <c r="AU591" s="15"/>
      <c r="AV591" s="15"/>
      <c r="AX591" s="15"/>
      <c r="AY591" s="15"/>
      <c r="AZ591" s="15"/>
      <c r="BA591" s="15"/>
      <c r="BC591" s="15"/>
      <c r="BF591" s="15"/>
      <c r="BG591" s="15"/>
    </row>
    <row r="592" spans="1:59" ht="14.25" customHeight="1" x14ac:dyDescent="0.3">
      <c r="A592" s="15"/>
      <c r="B592" s="15"/>
      <c r="C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S592" s="15"/>
      <c r="AT592" s="15"/>
      <c r="AU592" s="15"/>
      <c r="AV592" s="15"/>
      <c r="AX592" s="15"/>
      <c r="AY592" s="15"/>
      <c r="AZ592" s="15"/>
      <c r="BA592" s="15"/>
      <c r="BC592" s="15"/>
      <c r="BF592" s="15"/>
      <c r="BG592" s="15"/>
    </row>
    <row r="593" spans="1:59" ht="14.25" customHeight="1" x14ac:dyDescent="0.3">
      <c r="A593" s="15"/>
      <c r="B593" s="15"/>
      <c r="C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S593" s="15"/>
      <c r="AT593" s="15"/>
      <c r="AU593" s="15"/>
      <c r="AV593" s="15"/>
      <c r="AX593" s="15"/>
      <c r="AY593" s="15"/>
      <c r="AZ593" s="15"/>
      <c r="BA593" s="15"/>
      <c r="BC593" s="15"/>
      <c r="BF593" s="15"/>
      <c r="BG593" s="15"/>
    </row>
    <row r="594" spans="1:59" ht="14.25" customHeight="1" x14ac:dyDescent="0.3">
      <c r="A594" s="15"/>
      <c r="B594" s="15"/>
      <c r="C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S594" s="15"/>
      <c r="AT594" s="15"/>
      <c r="AU594" s="15"/>
      <c r="AV594" s="15"/>
      <c r="AX594" s="15"/>
      <c r="AY594" s="15"/>
      <c r="AZ594" s="15"/>
      <c r="BA594" s="15"/>
      <c r="BC594" s="15"/>
      <c r="BF594" s="15"/>
      <c r="BG594" s="15"/>
    </row>
    <row r="595" spans="1:59" ht="14.25" customHeight="1" x14ac:dyDescent="0.3">
      <c r="A595" s="15"/>
      <c r="B595" s="15"/>
      <c r="C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S595" s="15"/>
      <c r="AT595" s="15"/>
      <c r="AU595" s="15"/>
      <c r="AV595" s="15"/>
      <c r="AX595" s="15"/>
      <c r="AY595" s="15"/>
      <c r="AZ595" s="15"/>
      <c r="BA595" s="15"/>
      <c r="BC595" s="15"/>
      <c r="BF595" s="15"/>
      <c r="BG595" s="15"/>
    </row>
    <row r="596" spans="1:59" ht="14.25" customHeight="1" x14ac:dyDescent="0.3">
      <c r="A596" s="15"/>
      <c r="B596" s="15"/>
      <c r="C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S596" s="15"/>
      <c r="AT596" s="15"/>
      <c r="AU596" s="15"/>
      <c r="AV596" s="15"/>
      <c r="AX596" s="15"/>
      <c r="AY596" s="15"/>
      <c r="AZ596" s="15"/>
      <c r="BA596" s="15"/>
      <c r="BC596" s="15"/>
      <c r="BF596" s="15"/>
      <c r="BG596" s="15"/>
    </row>
    <row r="597" spans="1:59" ht="14.25" customHeight="1" x14ac:dyDescent="0.3">
      <c r="A597" s="15"/>
      <c r="B597" s="15"/>
      <c r="C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S597" s="15"/>
      <c r="AT597" s="15"/>
      <c r="AU597" s="15"/>
      <c r="AV597" s="15"/>
      <c r="AX597" s="15"/>
      <c r="AY597" s="15"/>
      <c r="AZ597" s="15"/>
      <c r="BA597" s="15"/>
      <c r="BC597" s="15"/>
      <c r="BF597" s="15"/>
      <c r="BG597" s="15"/>
    </row>
    <row r="598" spans="1:59" ht="14.25" customHeight="1" x14ac:dyDescent="0.3">
      <c r="A598" s="15"/>
      <c r="B598" s="15"/>
      <c r="C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S598" s="15"/>
      <c r="AT598" s="15"/>
      <c r="AU598" s="15"/>
      <c r="AV598" s="15"/>
      <c r="AX598" s="15"/>
      <c r="AY598" s="15"/>
      <c r="AZ598" s="15"/>
      <c r="BA598" s="15"/>
      <c r="BC598" s="15"/>
      <c r="BF598" s="15"/>
      <c r="BG598" s="15"/>
    </row>
    <row r="599" spans="1:59" ht="14.25" customHeight="1" x14ac:dyDescent="0.3">
      <c r="A599" s="15"/>
      <c r="B599" s="15"/>
      <c r="C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S599" s="15"/>
      <c r="AT599" s="15"/>
      <c r="AU599" s="15"/>
      <c r="AV599" s="15"/>
      <c r="AX599" s="15"/>
      <c r="AY599" s="15"/>
      <c r="AZ599" s="15"/>
      <c r="BA599" s="15"/>
      <c r="BC599" s="15"/>
      <c r="BF599" s="15"/>
      <c r="BG599" s="15"/>
    </row>
    <row r="600" spans="1:59" ht="14.25" customHeight="1" x14ac:dyDescent="0.3">
      <c r="A600" s="15"/>
      <c r="B600" s="15"/>
      <c r="C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S600" s="15"/>
      <c r="AT600" s="15"/>
      <c r="AU600" s="15"/>
      <c r="AV600" s="15"/>
      <c r="AX600" s="15"/>
      <c r="AY600" s="15"/>
      <c r="AZ600" s="15"/>
      <c r="BA600" s="15"/>
      <c r="BC600" s="15"/>
      <c r="BF600" s="15"/>
      <c r="BG600" s="15"/>
    </row>
    <row r="601" spans="1:59" ht="14.25" customHeight="1" x14ac:dyDescent="0.3">
      <c r="A601" s="15"/>
      <c r="B601" s="15"/>
      <c r="C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S601" s="15"/>
      <c r="AT601" s="15"/>
      <c r="AU601" s="15"/>
      <c r="AV601" s="15"/>
      <c r="AX601" s="15"/>
      <c r="AY601" s="15"/>
      <c r="AZ601" s="15"/>
      <c r="BA601" s="15"/>
      <c r="BC601" s="15"/>
      <c r="BF601" s="15"/>
      <c r="BG601" s="15"/>
    </row>
    <row r="602" spans="1:59" ht="14.25" customHeight="1" x14ac:dyDescent="0.3">
      <c r="A602" s="15"/>
      <c r="B602" s="15"/>
      <c r="C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S602" s="15"/>
      <c r="AT602" s="15"/>
      <c r="AU602" s="15"/>
      <c r="AV602" s="15"/>
      <c r="AX602" s="15"/>
      <c r="AY602" s="15"/>
      <c r="AZ602" s="15"/>
      <c r="BA602" s="15"/>
      <c r="BC602" s="15"/>
      <c r="BF602" s="15"/>
      <c r="BG602" s="15"/>
    </row>
    <row r="603" spans="1:59" ht="14.25" customHeight="1" x14ac:dyDescent="0.3">
      <c r="A603" s="15"/>
      <c r="B603" s="15"/>
      <c r="C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S603" s="15"/>
      <c r="AT603" s="15"/>
      <c r="AU603" s="15"/>
      <c r="AV603" s="15"/>
      <c r="AX603" s="15"/>
      <c r="AY603" s="15"/>
      <c r="AZ603" s="15"/>
      <c r="BA603" s="15"/>
      <c r="BC603" s="15"/>
      <c r="BF603" s="15"/>
      <c r="BG603" s="15"/>
    </row>
    <row r="604" spans="1:59" ht="14.25" customHeight="1" x14ac:dyDescent="0.3">
      <c r="A604" s="15"/>
      <c r="B604" s="15"/>
      <c r="C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S604" s="15"/>
      <c r="AT604" s="15"/>
      <c r="AU604" s="15"/>
      <c r="AV604" s="15"/>
      <c r="AX604" s="15"/>
      <c r="AY604" s="15"/>
      <c r="AZ604" s="15"/>
      <c r="BA604" s="15"/>
      <c r="BC604" s="15"/>
      <c r="BF604" s="15"/>
      <c r="BG604" s="15"/>
    </row>
    <row r="605" spans="1:59" ht="14.25" customHeight="1" x14ac:dyDescent="0.3">
      <c r="A605" s="15"/>
      <c r="B605" s="15"/>
      <c r="C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S605" s="15"/>
      <c r="AT605" s="15"/>
      <c r="AU605" s="15"/>
      <c r="AV605" s="15"/>
      <c r="AX605" s="15"/>
      <c r="AY605" s="15"/>
      <c r="AZ605" s="15"/>
      <c r="BA605" s="15"/>
      <c r="BC605" s="15"/>
      <c r="BF605" s="15"/>
      <c r="BG605" s="15"/>
    </row>
    <row r="606" spans="1:59" ht="14.25" customHeight="1" x14ac:dyDescent="0.3">
      <c r="A606" s="15"/>
      <c r="B606" s="15"/>
      <c r="C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S606" s="15"/>
      <c r="AT606" s="15"/>
      <c r="AU606" s="15"/>
      <c r="AV606" s="15"/>
      <c r="AX606" s="15"/>
      <c r="AY606" s="15"/>
      <c r="AZ606" s="15"/>
      <c r="BA606" s="15"/>
      <c r="BC606" s="15"/>
      <c r="BF606" s="15"/>
      <c r="BG606" s="15"/>
    </row>
    <row r="607" spans="1:59" ht="14.25" customHeight="1" x14ac:dyDescent="0.3">
      <c r="A607" s="15"/>
      <c r="B607" s="15"/>
      <c r="C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S607" s="15"/>
      <c r="AT607" s="15"/>
      <c r="AU607" s="15"/>
      <c r="AV607" s="15"/>
      <c r="AX607" s="15"/>
      <c r="AY607" s="15"/>
      <c r="AZ607" s="15"/>
      <c r="BA607" s="15"/>
      <c r="BC607" s="15"/>
      <c r="BF607" s="15"/>
      <c r="BG607" s="15"/>
    </row>
    <row r="608" spans="1:59" ht="14.25" customHeight="1" x14ac:dyDescent="0.3">
      <c r="A608" s="15"/>
      <c r="B608" s="15"/>
      <c r="C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S608" s="15"/>
      <c r="AT608" s="15"/>
      <c r="AU608" s="15"/>
      <c r="AV608" s="15"/>
      <c r="AX608" s="15"/>
      <c r="AY608" s="15"/>
      <c r="AZ608" s="15"/>
      <c r="BA608" s="15"/>
      <c r="BC608" s="15"/>
      <c r="BF608" s="15"/>
      <c r="BG608" s="15"/>
    </row>
    <row r="609" spans="1:59" ht="14.25" customHeight="1" x14ac:dyDescent="0.3">
      <c r="A609" s="15"/>
      <c r="B609" s="15"/>
      <c r="C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S609" s="15"/>
      <c r="AT609" s="15"/>
      <c r="AU609" s="15"/>
      <c r="AV609" s="15"/>
      <c r="AX609" s="15"/>
      <c r="AY609" s="15"/>
      <c r="AZ609" s="15"/>
      <c r="BA609" s="15"/>
      <c r="BC609" s="15"/>
      <c r="BF609" s="15"/>
      <c r="BG609" s="15"/>
    </row>
    <row r="610" spans="1:59" ht="14.25" customHeight="1" x14ac:dyDescent="0.3">
      <c r="A610" s="15"/>
      <c r="B610" s="15"/>
      <c r="C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S610" s="15"/>
      <c r="AT610" s="15"/>
      <c r="AU610" s="15"/>
      <c r="AV610" s="15"/>
      <c r="AX610" s="15"/>
      <c r="AY610" s="15"/>
      <c r="AZ610" s="15"/>
      <c r="BA610" s="15"/>
      <c r="BC610" s="15"/>
      <c r="BF610" s="15"/>
      <c r="BG610" s="15"/>
    </row>
    <row r="611" spans="1:59" ht="14.25" customHeight="1" x14ac:dyDescent="0.3">
      <c r="A611" s="15"/>
      <c r="B611" s="15"/>
      <c r="C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S611" s="15"/>
      <c r="AT611" s="15"/>
      <c r="AU611" s="15"/>
      <c r="AV611" s="15"/>
      <c r="AX611" s="15"/>
      <c r="AY611" s="15"/>
      <c r="AZ611" s="15"/>
      <c r="BA611" s="15"/>
      <c r="BC611" s="15"/>
      <c r="BF611" s="15"/>
      <c r="BG611" s="15"/>
    </row>
    <row r="612" spans="1:59" ht="14.25" customHeight="1" x14ac:dyDescent="0.3">
      <c r="A612" s="15"/>
      <c r="B612" s="15"/>
      <c r="C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S612" s="15"/>
      <c r="AT612" s="15"/>
      <c r="AU612" s="15"/>
      <c r="AV612" s="15"/>
      <c r="AX612" s="15"/>
      <c r="AY612" s="15"/>
      <c r="AZ612" s="15"/>
      <c r="BA612" s="15"/>
      <c r="BC612" s="15"/>
      <c r="BF612" s="15"/>
      <c r="BG612" s="15"/>
    </row>
    <row r="613" spans="1:59" ht="14.25" customHeight="1" x14ac:dyDescent="0.3">
      <c r="A613" s="15"/>
      <c r="B613" s="15"/>
      <c r="C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S613" s="15"/>
      <c r="AT613" s="15"/>
      <c r="AU613" s="15"/>
      <c r="AV613" s="15"/>
      <c r="AX613" s="15"/>
      <c r="AY613" s="15"/>
      <c r="AZ613" s="15"/>
      <c r="BA613" s="15"/>
      <c r="BC613" s="15"/>
      <c r="BF613" s="15"/>
      <c r="BG613" s="15"/>
    </row>
    <row r="614" spans="1:59" ht="14.25" customHeight="1" x14ac:dyDescent="0.3">
      <c r="A614" s="15"/>
      <c r="B614" s="15"/>
      <c r="C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S614" s="15"/>
      <c r="AT614" s="15"/>
      <c r="AU614" s="15"/>
      <c r="AV614" s="15"/>
      <c r="AX614" s="15"/>
      <c r="AY614" s="15"/>
      <c r="AZ614" s="15"/>
      <c r="BA614" s="15"/>
      <c r="BC614" s="15"/>
      <c r="BF614" s="15"/>
      <c r="BG614" s="15"/>
    </row>
    <row r="615" spans="1:59" ht="14.25" customHeight="1" x14ac:dyDescent="0.3">
      <c r="A615" s="15"/>
      <c r="B615" s="15"/>
      <c r="C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S615" s="15"/>
      <c r="AT615" s="15"/>
      <c r="AU615" s="15"/>
      <c r="AV615" s="15"/>
      <c r="AX615" s="15"/>
      <c r="AY615" s="15"/>
      <c r="AZ615" s="15"/>
      <c r="BA615" s="15"/>
      <c r="BC615" s="15"/>
      <c r="BF615" s="15"/>
      <c r="BG615" s="15"/>
    </row>
    <row r="616" spans="1:59" ht="14.25" customHeight="1" x14ac:dyDescent="0.3">
      <c r="A616" s="15"/>
      <c r="B616" s="15"/>
      <c r="C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S616" s="15"/>
      <c r="AT616" s="15"/>
      <c r="AU616" s="15"/>
      <c r="AV616" s="15"/>
      <c r="AX616" s="15"/>
      <c r="AY616" s="15"/>
      <c r="AZ616" s="15"/>
      <c r="BA616" s="15"/>
      <c r="BC616" s="15"/>
      <c r="BF616" s="15"/>
      <c r="BG616" s="15"/>
    </row>
    <row r="617" spans="1:59" ht="14.25" customHeight="1" x14ac:dyDescent="0.3">
      <c r="A617" s="15"/>
      <c r="B617" s="15"/>
      <c r="C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S617" s="15"/>
      <c r="AT617" s="15"/>
      <c r="AU617" s="15"/>
      <c r="AV617" s="15"/>
      <c r="AX617" s="15"/>
      <c r="AY617" s="15"/>
      <c r="AZ617" s="15"/>
      <c r="BA617" s="15"/>
      <c r="BC617" s="15"/>
      <c r="BF617" s="15"/>
      <c r="BG617" s="15"/>
    </row>
    <row r="618" spans="1:59" ht="14.25" customHeight="1" x14ac:dyDescent="0.3">
      <c r="A618" s="15"/>
      <c r="B618" s="15"/>
      <c r="C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S618" s="15"/>
      <c r="AT618" s="15"/>
      <c r="AU618" s="15"/>
      <c r="AV618" s="15"/>
      <c r="AX618" s="15"/>
      <c r="AY618" s="15"/>
      <c r="AZ618" s="15"/>
      <c r="BA618" s="15"/>
      <c r="BC618" s="15"/>
      <c r="BF618" s="15"/>
      <c r="BG618" s="15"/>
    </row>
    <row r="619" spans="1:59" ht="14.25" customHeight="1" x14ac:dyDescent="0.3">
      <c r="A619" s="15"/>
      <c r="B619" s="15"/>
      <c r="C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S619" s="15"/>
      <c r="AT619" s="15"/>
      <c r="AU619" s="15"/>
      <c r="AV619" s="15"/>
      <c r="AX619" s="15"/>
      <c r="AY619" s="15"/>
      <c r="AZ619" s="15"/>
      <c r="BA619" s="15"/>
      <c r="BC619" s="15"/>
      <c r="BF619" s="15"/>
      <c r="BG619" s="15"/>
    </row>
    <row r="620" spans="1:59" ht="14.25" customHeight="1" x14ac:dyDescent="0.3">
      <c r="A620" s="15"/>
      <c r="B620" s="15"/>
      <c r="C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S620" s="15"/>
      <c r="AT620" s="15"/>
      <c r="AU620" s="15"/>
      <c r="AV620" s="15"/>
      <c r="AX620" s="15"/>
      <c r="AY620" s="15"/>
      <c r="AZ620" s="15"/>
      <c r="BA620" s="15"/>
      <c r="BC620" s="15"/>
      <c r="BF620" s="15"/>
      <c r="BG620" s="15"/>
    </row>
    <row r="621" spans="1:59" ht="14.25" customHeight="1" x14ac:dyDescent="0.3">
      <c r="A621" s="15"/>
      <c r="B621" s="15"/>
      <c r="C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S621" s="15"/>
      <c r="AT621" s="15"/>
      <c r="AU621" s="15"/>
      <c r="AV621" s="15"/>
      <c r="AX621" s="15"/>
      <c r="AY621" s="15"/>
      <c r="AZ621" s="15"/>
      <c r="BA621" s="15"/>
      <c r="BC621" s="15"/>
      <c r="BF621" s="15"/>
      <c r="BG621" s="15"/>
    </row>
    <row r="622" spans="1:59" ht="14.25" customHeight="1" x14ac:dyDescent="0.3">
      <c r="A622" s="15"/>
      <c r="B622" s="15"/>
      <c r="C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S622" s="15"/>
      <c r="AT622" s="15"/>
      <c r="AU622" s="15"/>
      <c r="AV622" s="15"/>
      <c r="AX622" s="15"/>
      <c r="AY622" s="15"/>
      <c r="AZ622" s="15"/>
      <c r="BA622" s="15"/>
      <c r="BC622" s="15"/>
      <c r="BF622" s="15"/>
      <c r="BG622" s="15"/>
    </row>
    <row r="623" spans="1:59" ht="14.25" customHeight="1" x14ac:dyDescent="0.3">
      <c r="A623" s="15"/>
      <c r="B623" s="15"/>
      <c r="C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S623" s="15"/>
      <c r="AT623" s="15"/>
      <c r="AU623" s="15"/>
      <c r="AV623" s="15"/>
      <c r="AX623" s="15"/>
      <c r="AY623" s="15"/>
      <c r="AZ623" s="15"/>
      <c r="BA623" s="15"/>
      <c r="BC623" s="15"/>
      <c r="BF623" s="15"/>
      <c r="BG623" s="15"/>
    </row>
    <row r="624" spans="1:59" ht="14.25" customHeight="1" x14ac:dyDescent="0.3">
      <c r="A624" s="15"/>
      <c r="B624" s="15"/>
      <c r="C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S624" s="15"/>
      <c r="AT624" s="15"/>
      <c r="AU624" s="15"/>
      <c r="AV624" s="15"/>
      <c r="AX624" s="15"/>
      <c r="AY624" s="15"/>
      <c r="AZ624" s="15"/>
      <c r="BA624" s="15"/>
      <c r="BC624" s="15"/>
      <c r="BF624" s="15"/>
      <c r="BG624" s="15"/>
    </row>
    <row r="625" spans="1:59" ht="14.25" customHeight="1" x14ac:dyDescent="0.3">
      <c r="A625" s="15"/>
      <c r="B625" s="15"/>
      <c r="C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S625" s="15"/>
      <c r="AT625" s="15"/>
      <c r="AU625" s="15"/>
      <c r="AV625" s="15"/>
      <c r="AX625" s="15"/>
      <c r="AY625" s="15"/>
      <c r="AZ625" s="15"/>
      <c r="BA625" s="15"/>
      <c r="BC625" s="15"/>
      <c r="BF625" s="15"/>
      <c r="BG625" s="15"/>
    </row>
    <row r="626" spans="1:59" ht="14.25" customHeight="1" x14ac:dyDescent="0.3">
      <c r="A626" s="15"/>
      <c r="B626" s="15"/>
      <c r="C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S626" s="15"/>
      <c r="AT626" s="15"/>
      <c r="AU626" s="15"/>
      <c r="AV626" s="15"/>
      <c r="AX626" s="15"/>
      <c r="AY626" s="15"/>
      <c r="AZ626" s="15"/>
      <c r="BA626" s="15"/>
      <c r="BC626" s="15"/>
      <c r="BF626" s="15"/>
      <c r="BG626" s="15"/>
    </row>
    <row r="627" spans="1:59" ht="14.25" customHeight="1" x14ac:dyDescent="0.3">
      <c r="A627" s="15"/>
      <c r="B627" s="15"/>
      <c r="C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S627" s="15"/>
      <c r="AT627" s="15"/>
      <c r="AU627" s="15"/>
      <c r="AV627" s="15"/>
      <c r="AX627" s="15"/>
      <c r="AY627" s="15"/>
      <c r="AZ627" s="15"/>
      <c r="BA627" s="15"/>
      <c r="BC627" s="15"/>
      <c r="BF627" s="15"/>
      <c r="BG627" s="15"/>
    </row>
    <row r="628" spans="1:59" ht="14.25" customHeight="1" x14ac:dyDescent="0.3">
      <c r="A628" s="15"/>
      <c r="B628" s="15"/>
      <c r="C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S628" s="15"/>
      <c r="AT628" s="15"/>
      <c r="AU628" s="15"/>
      <c r="AV628" s="15"/>
      <c r="AX628" s="15"/>
      <c r="AY628" s="15"/>
      <c r="AZ628" s="15"/>
      <c r="BA628" s="15"/>
      <c r="BC628" s="15"/>
      <c r="BF628" s="15"/>
      <c r="BG628" s="15"/>
    </row>
    <row r="629" spans="1:59" ht="14.25" customHeight="1" x14ac:dyDescent="0.3">
      <c r="A629" s="15"/>
      <c r="B629" s="15"/>
      <c r="C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S629" s="15"/>
      <c r="AT629" s="15"/>
      <c r="AU629" s="15"/>
      <c r="AV629" s="15"/>
      <c r="AX629" s="15"/>
      <c r="AY629" s="15"/>
      <c r="AZ629" s="15"/>
      <c r="BA629" s="15"/>
      <c r="BC629" s="15"/>
      <c r="BF629" s="15"/>
      <c r="BG629" s="15"/>
    </row>
    <row r="630" spans="1:59" ht="14.25" customHeight="1" x14ac:dyDescent="0.3">
      <c r="A630" s="15"/>
      <c r="B630" s="15"/>
      <c r="C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S630" s="15"/>
      <c r="AT630" s="15"/>
      <c r="AU630" s="15"/>
      <c r="AV630" s="15"/>
      <c r="AX630" s="15"/>
      <c r="AY630" s="15"/>
      <c r="AZ630" s="15"/>
      <c r="BA630" s="15"/>
      <c r="BC630" s="15"/>
      <c r="BF630" s="15"/>
      <c r="BG630" s="15"/>
    </row>
    <row r="631" spans="1:59" ht="14.25" customHeight="1" x14ac:dyDescent="0.3">
      <c r="A631" s="15"/>
      <c r="B631" s="15"/>
      <c r="C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S631" s="15"/>
      <c r="AT631" s="15"/>
      <c r="AU631" s="15"/>
      <c r="AV631" s="15"/>
      <c r="AX631" s="15"/>
      <c r="AY631" s="15"/>
      <c r="AZ631" s="15"/>
      <c r="BA631" s="15"/>
      <c r="BC631" s="15"/>
      <c r="BF631" s="15"/>
      <c r="BG631" s="15"/>
    </row>
    <row r="632" spans="1:59" ht="14.25" customHeight="1" x14ac:dyDescent="0.3">
      <c r="A632" s="15"/>
      <c r="B632" s="15"/>
      <c r="C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S632" s="15"/>
      <c r="AT632" s="15"/>
      <c r="AU632" s="15"/>
      <c r="AV632" s="15"/>
      <c r="AX632" s="15"/>
      <c r="AY632" s="15"/>
      <c r="AZ632" s="15"/>
      <c r="BA632" s="15"/>
      <c r="BC632" s="15"/>
      <c r="BF632" s="15"/>
      <c r="BG632" s="15"/>
    </row>
    <row r="633" spans="1:59" ht="14.25" customHeight="1" x14ac:dyDescent="0.3">
      <c r="A633" s="15"/>
      <c r="B633" s="15"/>
      <c r="C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S633" s="15"/>
      <c r="AT633" s="15"/>
      <c r="AU633" s="15"/>
      <c r="AV633" s="15"/>
      <c r="AX633" s="15"/>
      <c r="AY633" s="15"/>
      <c r="AZ633" s="15"/>
      <c r="BA633" s="15"/>
      <c r="BC633" s="15"/>
      <c r="BF633" s="15"/>
      <c r="BG633" s="15"/>
    </row>
    <row r="634" spans="1:59" ht="14.25" customHeight="1" x14ac:dyDescent="0.3">
      <c r="A634" s="15"/>
      <c r="B634" s="15"/>
      <c r="C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S634" s="15"/>
      <c r="AT634" s="15"/>
      <c r="AU634" s="15"/>
      <c r="AV634" s="15"/>
      <c r="AX634" s="15"/>
      <c r="AY634" s="15"/>
      <c r="AZ634" s="15"/>
      <c r="BA634" s="15"/>
      <c r="BC634" s="15"/>
      <c r="BF634" s="15"/>
      <c r="BG634" s="15"/>
    </row>
    <row r="635" spans="1:59" ht="14.25" customHeight="1" x14ac:dyDescent="0.3">
      <c r="A635" s="15"/>
      <c r="B635" s="15"/>
      <c r="C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S635" s="15"/>
      <c r="AT635" s="15"/>
      <c r="AU635" s="15"/>
      <c r="AV635" s="15"/>
      <c r="AX635" s="15"/>
      <c r="AY635" s="15"/>
      <c r="AZ635" s="15"/>
      <c r="BA635" s="15"/>
      <c r="BC635" s="15"/>
      <c r="BF635" s="15"/>
      <c r="BG635" s="15"/>
    </row>
    <row r="636" spans="1:59" ht="14.25" customHeight="1" x14ac:dyDescent="0.3">
      <c r="A636" s="15"/>
      <c r="B636" s="15"/>
      <c r="C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S636" s="15"/>
      <c r="AT636" s="15"/>
      <c r="AU636" s="15"/>
      <c r="AV636" s="15"/>
      <c r="AX636" s="15"/>
      <c r="AY636" s="15"/>
      <c r="AZ636" s="15"/>
      <c r="BA636" s="15"/>
      <c r="BC636" s="15"/>
      <c r="BF636" s="15"/>
      <c r="BG636" s="15"/>
    </row>
    <row r="637" spans="1:59" ht="14.25" customHeight="1" x14ac:dyDescent="0.3">
      <c r="A637" s="15"/>
      <c r="B637" s="15"/>
      <c r="C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S637" s="15"/>
      <c r="AT637" s="15"/>
      <c r="AU637" s="15"/>
      <c r="AV637" s="15"/>
      <c r="AX637" s="15"/>
      <c r="AY637" s="15"/>
      <c r="AZ637" s="15"/>
      <c r="BA637" s="15"/>
      <c r="BC637" s="15"/>
      <c r="BF637" s="15"/>
      <c r="BG637" s="15"/>
    </row>
    <row r="638" spans="1:59" ht="14.25" customHeight="1" x14ac:dyDescent="0.3">
      <c r="A638" s="15"/>
      <c r="B638" s="15"/>
      <c r="C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S638" s="15"/>
      <c r="AT638" s="15"/>
      <c r="AU638" s="15"/>
      <c r="AV638" s="15"/>
      <c r="AX638" s="15"/>
      <c r="AY638" s="15"/>
      <c r="AZ638" s="15"/>
      <c r="BA638" s="15"/>
      <c r="BC638" s="15"/>
      <c r="BF638" s="15"/>
      <c r="BG638" s="15"/>
    </row>
    <row r="639" spans="1:59" ht="14.25" customHeight="1" x14ac:dyDescent="0.3">
      <c r="A639" s="15"/>
      <c r="B639" s="15"/>
      <c r="C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S639" s="15"/>
      <c r="AT639" s="15"/>
      <c r="AU639" s="15"/>
      <c r="AV639" s="15"/>
      <c r="AX639" s="15"/>
      <c r="AY639" s="15"/>
      <c r="AZ639" s="15"/>
      <c r="BA639" s="15"/>
      <c r="BC639" s="15"/>
      <c r="BF639" s="15"/>
      <c r="BG639" s="15"/>
    </row>
    <row r="640" spans="1:59" ht="14.25" customHeight="1" x14ac:dyDescent="0.3">
      <c r="A640" s="15"/>
      <c r="B640" s="15"/>
      <c r="C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S640" s="15"/>
      <c r="AT640" s="15"/>
      <c r="AU640" s="15"/>
      <c r="AV640" s="15"/>
      <c r="AX640" s="15"/>
      <c r="AY640" s="15"/>
      <c r="AZ640" s="15"/>
      <c r="BA640" s="15"/>
      <c r="BC640" s="15"/>
      <c r="BF640" s="15"/>
      <c r="BG640" s="15"/>
    </row>
    <row r="641" spans="1:59" ht="14.25" customHeight="1" x14ac:dyDescent="0.3">
      <c r="A641" s="15"/>
      <c r="B641" s="15"/>
      <c r="C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S641" s="15"/>
      <c r="AT641" s="15"/>
      <c r="AU641" s="15"/>
      <c r="AV641" s="15"/>
      <c r="AX641" s="15"/>
      <c r="AY641" s="15"/>
      <c r="AZ641" s="15"/>
      <c r="BA641" s="15"/>
      <c r="BC641" s="15"/>
      <c r="BF641" s="15"/>
      <c r="BG641" s="15"/>
    </row>
    <row r="642" spans="1:59" ht="14.25" customHeight="1" x14ac:dyDescent="0.3">
      <c r="A642" s="15"/>
      <c r="B642" s="15"/>
      <c r="C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S642" s="15"/>
      <c r="AT642" s="15"/>
      <c r="AU642" s="15"/>
      <c r="AV642" s="15"/>
      <c r="AX642" s="15"/>
      <c r="AY642" s="15"/>
      <c r="AZ642" s="15"/>
      <c r="BA642" s="15"/>
      <c r="BC642" s="15"/>
      <c r="BF642" s="15"/>
      <c r="BG642" s="15"/>
    </row>
    <row r="643" spans="1:59" ht="14.25" customHeight="1" x14ac:dyDescent="0.3">
      <c r="A643" s="15"/>
      <c r="B643" s="15"/>
      <c r="C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S643" s="15"/>
      <c r="AT643" s="15"/>
      <c r="AU643" s="15"/>
      <c r="AV643" s="15"/>
      <c r="AX643" s="15"/>
      <c r="AY643" s="15"/>
      <c r="AZ643" s="15"/>
      <c r="BA643" s="15"/>
      <c r="BC643" s="15"/>
      <c r="BF643" s="15"/>
      <c r="BG643" s="15"/>
    </row>
    <row r="644" spans="1:59" ht="14.25" customHeight="1" x14ac:dyDescent="0.3">
      <c r="A644" s="15"/>
      <c r="B644" s="15"/>
      <c r="C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S644" s="15"/>
      <c r="AT644" s="15"/>
      <c r="AU644" s="15"/>
      <c r="AV644" s="15"/>
      <c r="AX644" s="15"/>
      <c r="AY644" s="15"/>
      <c r="AZ644" s="15"/>
      <c r="BA644" s="15"/>
      <c r="BC644" s="15"/>
      <c r="BF644" s="15"/>
      <c r="BG644" s="15"/>
    </row>
    <row r="645" spans="1:59" ht="14.25" customHeight="1" x14ac:dyDescent="0.3">
      <c r="A645" s="15"/>
      <c r="B645" s="15"/>
      <c r="C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S645" s="15"/>
      <c r="AT645" s="15"/>
      <c r="AU645" s="15"/>
      <c r="AV645" s="15"/>
      <c r="AX645" s="15"/>
      <c r="AY645" s="15"/>
      <c r="AZ645" s="15"/>
      <c r="BA645" s="15"/>
      <c r="BC645" s="15"/>
      <c r="BF645" s="15"/>
      <c r="BG645" s="15"/>
    </row>
    <row r="646" spans="1:59" ht="14.25" customHeight="1" x14ac:dyDescent="0.3">
      <c r="A646" s="15"/>
      <c r="B646" s="15"/>
      <c r="C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S646" s="15"/>
      <c r="AT646" s="15"/>
      <c r="AU646" s="15"/>
      <c r="AV646" s="15"/>
      <c r="AX646" s="15"/>
      <c r="AY646" s="15"/>
      <c r="AZ646" s="15"/>
      <c r="BA646" s="15"/>
      <c r="BC646" s="15"/>
      <c r="BF646" s="15"/>
      <c r="BG646" s="15"/>
    </row>
    <row r="647" spans="1:59" ht="14.25" customHeight="1" x14ac:dyDescent="0.3">
      <c r="A647" s="15"/>
      <c r="B647" s="15"/>
      <c r="C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S647" s="15"/>
      <c r="AT647" s="15"/>
      <c r="AU647" s="15"/>
      <c r="AV647" s="15"/>
      <c r="AX647" s="15"/>
      <c r="AY647" s="15"/>
      <c r="AZ647" s="15"/>
      <c r="BA647" s="15"/>
      <c r="BC647" s="15"/>
      <c r="BF647" s="15"/>
      <c r="BG647" s="15"/>
    </row>
    <row r="648" spans="1:59" ht="14.25" customHeight="1" x14ac:dyDescent="0.3">
      <c r="A648" s="15"/>
      <c r="B648" s="15"/>
      <c r="C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S648" s="15"/>
      <c r="AT648" s="15"/>
      <c r="AU648" s="15"/>
      <c r="AV648" s="15"/>
      <c r="AX648" s="15"/>
      <c r="AY648" s="15"/>
      <c r="AZ648" s="15"/>
      <c r="BA648" s="15"/>
      <c r="BC648" s="15"/>
      <c r="BF648" s="15"/>
      <c r="BG648" s="15"/>
    </row>
    <row r="649" spans="1:59" ht="14.25" customHeight="1" x14ac:dyDescent="0.3">
      <c r="A649" s="15"/>
      <c r="B649" s="15"/>
      <c r="C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S649" s="15"/>
      <c r="AT649" s="15"/>
      <c r="AU649" s="15"/>
      <c r="AV649" s="15"/>
      <c r="AX649" s="15"/>
      <c r="AY649" s="15"/>
      <c r="AZ649" s="15"/>
      <c r="BA649" s="15"/>
      <c r="BC649" s="15"/>
      <c r="BF649" s="15"/>
      <c r="BG649" s="15"/>
    </row>
    <row r="650" spans="1:59" ht="14.25" customHeight="1" x14ac:dyDescent="0.3">
      <c r="A650" s="15"/>
      <c r="B650" s="15"/>
      <c r="C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S650" s="15"/>
      <c r="AT650" s="15"/>
      <c r="AU650" s="15"/>
      <c r="AV650" s="15"/>
      <c r="AX650" s="15"/>
      <c r="AY650" s="15"/>
      <c r="AZ650" s="15"/>
      <c r="BA650" s="15"/>
      <c r="BC650" s="15"/>
      <c r="BF650" s="15"/>
      <c r="BG650" s="15"/>
    </row>
    <row r="651" spans="1:59" ht="14.25" customHeight="1" x14ac:dyDescent="0.3">
      <c r="A651" s="15"/>
      <c r="B651" s="15"/>
      <c r="C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S651" s="15"/>
      <c r="AT651" s="15"/>
      <c r="AU651" s="15"/>
      <c r="AV651" s="15"/>
      <c r="AX651" s="15"/>
      <c r="AY651" s="15"/>
      <c r="AZ651" s="15"/>
      <c r="BA651" s="15"/>
      <c r="BC651" s="15"/>
      <c r="BF651" s="15"/>
      <c r="BG651" s="15"/>
    </row>
    <row r="652" spans="1:59" ht="14.25" customHeight="1" x14ac:dyDescent="0.3">
      <c r="A652" s="15"/>
      <c r="B652" s="15"/>
      <c r="C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S652" s="15"/>
      <c r="AT652" s="15"/>
      <c r="AU652" s="15"/>
      <c r="AV652" s="15"/>
      <c r="AX652" s="15"/>
      <c r="AY652" s="15"/>
      <c r="AZ652" s="15"/>
      <c r="BA652" s="15"/>
      <c r="BC652" s="15"/>
      <c r="BF652" s="15"/>
      <c r="BG652" s="15"/>
    </row>
    <row r="653" spans="1:59" ht="14.25" customHeight="1" x14ac:dyDescent="0.3">
      <c r="A653" s="15"/>
      <c r="B653" s="15"/>
      <c r="C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S653" s="15"/>
      <c r="AT653" s="15"/>
      <c r="AU653" s="15"/>
      <c r="AV653" s="15"/>
      <c r="AX653" s="15"/>
      <c r="AY653" s="15"/>
      <c r="AZ653" s="15"/>
      <c r="BA653" s="15"/>
      <c r="BC653" s="15"/>
      <c r="BF653" s="15"/>
      <c r="BG653" s="15"/>
    </row>
    <row r="654" spans="1:59" ht="14.25" customHeight="1" x14ac:dyDescent="0.3">
      <c r="A654" s="15"/>
      <c r="B654" s="15"/>
      <c r="C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S654" s="15"/>
      <c r="AT654" s="15"/>
      <c r="AU654" s="15"/>
      <c r="AV654" s="15"/>
      <c r="AX654" s="15"/>
      <c r="AY654" s="15"/>
      <c r="AZ654" s="15"/>
      <c r="BA654" s="15"/>
      <c r="BC654" s="15"/>
      <c r="BF654" s="15"/>
      <c r="BG654" s="15"/>
    </row>
    <row r="655" spans="1:59" ht="14.25" customHeight="1" x14ac:dyDescent="0.3">
      <c r="A655" s="15"/>
      <c r="B655" s="15"/>
      <c r="C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S655" s="15"/>
      <c r="AT655" s="15"/>
      <c r="AU655" s="15"/>
      <c r="AV655" s="15"/>
      <c r="AX655" s="15"/>
      <c r="AY655" s="15"/>
      <c r="AZ655" s="15"/>
      <c r="BA655" s="15"/>
      <c r="BC655" s="15"/>
      <c r="BF655" s="15"/>
      <c r="BG655" s="15"/>
    </row>
    <row r="656" spans="1:59" ht="14.25" customHeight="1" x14ac:dyDescent="0.3">
      <c r="A656" s="15"/>
      <c r="B656" s="15"/>
      <c r="C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S656" s="15"/>
      <c r="AT656" s="15"/>
      <c r="AU656" s="15"/>
      <c r="AV656" s="15"/>
      <c r="AX656" s="15"/>
      <c r="AY656" s="15"/>
      <c r="AZ656" s="15"/>
      <c r="BA656" s="15"/>
      <c r="BC656" s="15"/>
      <c r="BF656" s="15"/>
      <c r="BG656" s="15"/>
    </row>
    <row r="657" spans="1:59" ht="14.25" customHeight="1" x14ac:dyDescent="0.3">
      <c r="A657" s="15"/>
      <c r="B657" s="15"/>
      <c r="C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S657" s="15"/>
      <c r="AT657" s="15"/>
      <c r="AU657" s="15"/>
      <c r="AV657" s="15"/>
      <c r="AX657" s="15"/>
      <c r="AY657" s="15"/>
      <c r="AZ657" s="15"/>
      <c r="BA657" s="15"/>
      <c r="BC657" s="15"/>
      <c r="BF657" s="15"/>
      <c r="BG657" s="15"/>
    </row>
    <row r="658" spans="1:59" ht="14.25" customHeight="1" x14ac:dyDescent="0.3">
      <c r="A658" s="15"/>
      <c r="B658" s="15"/>
      <c r="C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S658" s="15"/>
      <c r="AT658" s="15"/>
      <c r="AU658" s="15"/>
      <c r="AV658" s="15"/>
      <c r="AX658" s="15"/>
      <c r="AY658" s="15"/>
      <c r="AZ658" s="15"/>
      <c r="BA658" s="15"/>
      <c r="BC658" s="15"/>
      <c r="BF658" s="15"/>
      <c r="BG658" s="15"/>
    </row>
    <row r="659" spans="1:59" ht="14.25" customHeight="1" x14ac:dyDescent="0.3">
      <c r="A659" s="15"/>
      <c r="B659" s="15"/>
      <c r="C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S659" s="15"/>
      <c r="AT659" s="15"/>
      <c r="AU659" s="15"/>
      <c r="AV659" s="15"/>
      <c r="AX659" s="15"/>
      <c r="AY659" s="15"/>
      <c r="AZ659" s="15"/>
      <c r="BA659" s="15"/>
      <c r="BC659" s="15"/>
      <c r="BF659" s="15"/>
      <c r="BG659" s="15"/>
    </row>
    <row r="660" spans="1:59" ht="14.25" customHeight="1" x14ac:dyDescent="0.3">
      <c r="A660" s="15"/>
      <c r="B660" s="15"/>
      <c r="C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S660" s="15"/>
      <c r="AT660" s="15"/>
      <c r="AU660" s="15"/>
      <c r="AV660" s="15"/>
      <c r="AX660" s="15"/>
      <c r="AY660" s="15"/>
      <c r="AZ660" s="15"/>
      <c r="BA660" s="15"/>
      <c r="BC660" s="15"/>
      <c r="BF660" s="15"/>
      <c r="BG660" s="15"/>
    </row>
    <row r="661" spans="1:59" ht="14.25" customHeight="1" x14ac:dyDescent="0.3">
      <c r="A661" s="15"/>
      <c r="B661" s="15"/>
      <c r="C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S661" s="15"/>
      <c r="AT661" s="15"/>
      <c r="AU661" s="15"/>
      <c r="AV661" s="15"/>
      <c r="AX661" s="15"/>
      <c r="AY661" s="15"/>
      <c r="AZ661" s="15"/>
      <c r="BA661" s="15"/>
      <c r="BC661" s="15"/>
      <c r="BF661" s="15"/>
      <c r="BG661" s="15"/>
    </row>
    <row r="662" spans="1:59" ht="14.25" customHeight="1" x14ac:dyDescent="0.3">
      <c r="A662" s="15"/>
      <c r="B662" s="15"/>
      <c r="C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S662" s="15"/>
      <c r="AT662" s="15"/>
      <c r="AU662" s="15"/>
      <c r="AV662" s="15"/>
      <c r="AX662" s="15"/>
      <c r="AY662" s="15"/>
      <c r="AZ662" s="15"/>
      <c r="BA662" s="15"/>
      <c r="BC662" s="15"/>
      <c r="BF662" s="15"/>
      <c r="BG662" s="15"/>
    </row>
    <row r="663" spans="1:59" ht="14.25" customHeight="1" x14ac:dyDescent="0.3">
      <c r="A663" s="15"/>
      <c r="B663" s="15"/>
      <c r="C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S663" s="15"/>
      <c r="AT663" s="15"/>
      <c r="AU663" s="15"/>
      <c r="AV663" s="15"/>
      <c r="AX663" s="15"/>
      <c r="AY663" s="15"/>
      <c r="AZ663" s="15"/>
      <c r="BA663" s="15"/>
      <c r="BC663" s="15"/>
      <c r="BF663" s="15"/>
      <c r="BG663" s="15"/>
    </row>
    <row r="664" spans="1:59" ht="14.25" customHeight="1" x14ac:dyDescent="0.3">
      <c r="A664" s="15"/>
      <c r="B664" s="15"/>
      <c r="C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S664" s="15"/>
      <c r="AT664" s="15"/>
      <c r="AU664" s="15"/>
      <c r="AV664" s="15"/>
      <c r="AX664" s="15"/>
      <c r="AY664" s="15"/>
      <c r="AZ664" s="15"/>
      <c r="BA664" s="15"/>
      <c r="BC664" s="15"/>
      <c r="BF664" s="15"/>
      <c r="BG664" s="15"/>
    </row>
    <row r="665" spans="1:59" ht="14.25" customHeight="1" x14ac:dyDescent="0.3">
      <c r="A665" s="15"/>
      <c r="B665" s="15"/>
      <c r="C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S665" s="15"/>
      <c r="AT665" s="15"/>
      <c r="AU665" s="15"/>
      <c r="AV665" s="15"/>
      <c r="AX665" s="15"/>
      <c r="AY665" s="15"/>
      <c r="AZ665" s="15"/>
      <c r="BA665" s="15"/>
      <c r="BC665" s="15"/>
      <c r="BF665" s="15"/>
      <c r="BG665" s="15"/>
    </row>
    <row r="666" spans="1:59" ht="14.25" customHeight="1" x14ac:dyDescent="0.3">
      <c r="A666" s="15"/>
      <c r="B666" s="15"/>
      <c r="C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S666" s="15"/>
      <c r="AT666" s="15"/>
      <c r="AU666" s="15"/>
      <c r="AV666" s="15"/>
      <c r="AX666" s="15"/>
      <c r="AY666" s="15"/>
      <c r="AZ666" s="15"/>
      <c r="BA666" s="15"/>
      <c r="BC666" s="15"/>
      <c r="BF666" s="15"/>
      <c r="BG666" s="15"/>
    </row>
    <row r="667" spans="1:59" ht="14.25" customHeight="1" x14ac:dyDescent="0.3">
      <c r="A667" s="15"/>
      <c r="B667" s="15"/>
      <c r="C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S667" s="15"/>
      <c r="AT667" s="15"/>
      <c r="AU667" s="15"/>
      <c r="AV667" s="15"/>
      <c r="AX667" s="15"/>
      <c r="AY667" s="15"/>
      <c r="AZ667" s="15"/>
      <c r="BA667" s="15"/>
      <c r="BC667" s="15"/>
      <c r="BF667" s="15"/>
      <c r="BG667" s="15"/>
    </row>
    <row r="668" spans="1:59" ht="14.25" customHeight="1" x14ac:dyDescent="0.3">
      <c r="A668" s="15"/>
      <c r="B668" s="15"/>
      <c r="C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S668" s="15"/>
      <c r="AT668" s="15"/>
      <c r="AU668" s="15"/>
      <c r="AV668" s="15"/>
      <c r="AX668" s="15"/>
      <c r="AY668" s="15"/>
      <c r="AZ668" s="15"/>
      <c r="BA668" s="15"/>
      <c r="BC668" s="15"/>
      <c r="BF668" s="15"/>
      <c r="BG668" s="15"/>
    </row>
    <row r="669" spans="1:59" ht="14.25" customHeight="1" x14ac:dyDescent="0.3">
      <c r="A669" s="15"/>
      <c r="B669" s="15"/>
      <c r="C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S669" s="15"/>
      <c r="AT669" s="15"/>
      <c r="AU669" s="15"/>
      <c r="AV669" s="15"/>
      <c r="AX669" s="15"/>
      <c r="AY669" s="15"/>
      <c r="AZ669" s="15"/>
      <c r="BA669" s="15"/>
      <c r="BC669" s="15"/>
      <c r="BF669" s="15"/>
      <c r="BG669" s="15"/>
    </row>
    <row r="670" spans="1:59" ht="14.25" customHeight="1" x14ac:dyDescent="0.3">
      <c r="A670" s="15"/>
      <c r="B670" s="15"/>
      <c r="C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S670" s="15"/>
      <c r="AT670" s="15"/>
      <c r="AU670" s="15"/>
      <c r="AV670" s="15"/>
      <c r="AX670" s="15"/>
      <c r="AY670" s="15"/>
      <c r="AZ670" s="15"/>
      <c r="BA670" s="15"/>
      <c r="BC670" s="15"/>
      <c r="BF670" s="15"/>
      <c r="BG670" s="15"/>
    </row>
    <row r="671" spans="1:59" ht="14.25" customHeight="1" x14ac:dyDescent="0.3">
      <c r="A671" s="15"/>
      <c r="B671" s="15"/>
      <c r="C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S671" s="15"/>
      <c r="AT671" s="15"/>
      <c r="AU671" s="15"/>
      <c r="AV671" s="15"/>
      <c r="AX671" s="15"/>
      <c r="AY671" s="15"/>
      <c r="AZ671" s="15"/>
      <c r="BA671" s="15"/>
      <c r="BC671" s="15"/>
      <c r="BF671" s="15"/>
      <c r="BG671" s="15"/>
    </row>
    <row r="672" spans="1:59" ht="14.25" customHeight="1" x14ac:dyDescent="0.3">
      <c r="A672" s="15"/>
      <c r="B672" s="15"/>
      <c r="C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S672" s="15"/>
      <c r="AT672" s="15"/>
      <c r="AU672" s="15"/>
      <c r="AV672" s="15"/>
      <c r="AX672" s="15"/>
      <c r="AY672" s="15"/>
      <c r="AZ672" s="15"/>
      <c r="BA672" s="15"/>
      <c r="BC672" s="15"/>
      <c r="BF672" s="15"/>
      <c r="BG672" s="15"/>
    </row>
    <row r="673" spans="1:59" ht="14.25" customHeight="1" x14ac:dyDescent="0.3">
      <c r="A673" s="15"/>
      <c r="B673" s="15"/>
      <c r="C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S673" s="15"/>
      <c r="AT673" s="15"/>
      <c r="AU673" s="15"/>
      <c r="AV673" s="15"/>
      <c r="AX673" s="15"/>
      <c r="AY673" s="15"/>
      <c r="AZ673" s="15"/>
      <c r="BA673" s="15"/>
      <c r="BC673" s="15"/>
      <c r="BF673" s="15"/>
      <c r="BG673" s="15"/>
    </row>
    <row r="674" spans="1:59" ht="14.25" customHeight="1" x14ac:dyDescent="0.3">
      <c r="A674" s="15"/>
      <c r="B674" s="15"/>
      <c r="C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S674" s="15"/>
      <c r="AT674" s="15"/>
      <c r="AU674" s="15"/>
      <c r="AV674" s="15"/>
      <c r="AX674" s="15"/>
      <c r="AY674" s="15"/>
      <c r="AZ674" s="15"/>
      <c r="BA674" s="15"/>
      <c r="BC674" s="15"/>
      <c r="BF674" s="15"/>
      <c r="BG674" s="15"/>
    </row>
    <row r="675" spans="1:59" ht="14.25" customHeight="1" x14ac:dyDescent="0.3">
      <c r="A675" s="15"/>
      <c r="B675" s="15"/>
      <c r="C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S675" s="15"/>
      <c r="AT675" s="15"/>
      <c r="AU675" s="15"/>
      <c r="AV675" s="15"/>
      <c r="AX675" s="15"/>
      <c r="AY675" s="15"/>
      <c r="AZ675" s="15"/>
      <c r="BA675" s="15"/>
      <c r="BC675" s="15"/>
      <c r="BF675" s="15"/>
      <c r="BG675" s="15"/>
    </row>
    <row r="676" spans="1:59" ht="14.25" customHeight="1" x14ac:dyDescent="0.3">
      <c r="A676" s="15"/>
      <c r="B676" s="15"/>
      <c r="C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S676" s="15"/>
      <c r="AT676" s="15"/>
      <c r="AU676" s="15"/>
      <c r="AV676" s="15"/>
      <c r="AX676" s="15"/>
      <c r="AY676" s="15"/>
      <c r="AZ676" s="15"/>
      <c r="BA676" s="15"/>
      <c r="BC676" s="15"/>
      <c r="BF676" s="15"/>
      <c r="BG676" s="15"/>
    </row>
    <row r="677" spans="1:59" ht="14.25" customHeight="1" x14ac:dyDescent="0.3">
      <c r="A677" s="15"/>
      <c r="B677" s="15"/>
      <c r="C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S677" s="15"/>
      <c r="AT677" s="15"/>
      <c r="AU677" s="15"/>
      <c r="AV677" s="15"/>
      <c r="AX677" s="15"/>
      <c r="AY677" s="15"/>
      <c r="AZ677" s="15"/>
      <c r="BA677" s="15"/>
      <c r="BC677" s="15"/>
      <c r="BF677" s="15"/>
      <c r="BG677" s="15"/>
    </row>
    <row r="678" spans="1:59" ht="14.25" customHeight="1" x14ac:dyDescent="0.3">
      <c r="A678" s="15"/>
      <c r="B678" s="15"/>
      <c r="C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S678" s="15"/>
      <c r="AT678" s="15"/>
      <c r="AU678" s="15"/>
      <c r="AV678" s="15"/>
      <c r="AX678" s="15"/>
      <c r="AY678" s="15"/>
      <c r="AZ678" s="15"/>
      <c r="BA678" s="15"/>
      <c r="BC678" s="15"/>
      <c r="BF678" s="15"/>
      <c r="BG678" s="15"/>
    </row>
    <row r="679" spans="1:59" ht="14.25" customHeight="1" x14ac:dyDescent="0.3">
      <c r="A679" s="15"/>
      <c r="B679" s="15"/>
      <c r="C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S679" s="15"/>
      <c r="AT679" s="15"/>
      <c r="AU679" s="15"/>
      <c r="AV679" s="15"/>
      <c r="AX679" s="15"/>
      <c r="AY679" s="15"/>
      <c r="AZ679" s="15"/>
      <c r="BA679" s="15"/>
      <c r="BC679" s="15"/>
      <c r="BF679" s="15"/>
      <c r="BG679" s="15"/>
    </row>
    <row r="680" spans="1:59" ht="14.25" customHeight="1" x14ac:dyDescent="0.3">
      <c r="A680" s="15"/>
      <c r="B680" s="15"/>
      <c r="C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S680" s="15"/>
      <c r="AT680" s="15"/>
      <c r="AU680" s="15"/>
      <c r="AV680" s="15"/>
      <c r="AX680" s="15"/>
      <c r="AY680" s="15"/>
      <c r="AZ680" s="15"/>
      <c r="BA680" s="15"/>
      <c r="BC680" s="15"/>
      <c r="BF680" s="15"/>
      <c r="BG680" s="15"/>
    </row>
    <row r="681" spans="1:59" ht="14.25" customHeight="1" x14ac:dyDescent="0.3">
      <c r="A681" s="15"/>
      <c r="B681" s="15"/>
      <c r="C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S681" s="15"/>
      <c r="AT681" s="15"/>
      <c r="AU681" s="15"/>
      <c r="AV681" s="15"/>
      <c r="AX681" s="15"/>
      <c r="AY681" s="15"/>
      <c r="AZ681" s="15"/>
      <c r="BA681" s="15"/>
      <c r="BC681" s="15"/>
      <c r="BF681" s="15"/>
      <c r="BG681" s="15"/>
    </row>
    <row r="682" spans="1:59" ht="14.25" customHeight="1" x14ac:dyDescent="0.3">
      <c r="A682" s="15"/>
      <c r="B682" s="15"/>
      <c r="C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S682" s="15"/>
      <c r="AT682" s="15"/>
      <c r="AU682" s="15"/>
      <c r="AV682" s="15"/>
      <c r="AX682" s="15"/>
      <c r="AY682" s="15"/>
      <c r="AZ682" s="15"/>
      <c r="BA682" s="15"/>
      <c r="BC682" s="15"/>
      <c r="BF682" s="15"/>
      <c r="BG682" s="15"/>
    </row>
    <row r="683" spans="1:59" ht="14.25" customHeight="1" x14ac:dyDescent="0.3">
      <c r="A683" s="15"/>
      <c r="B683" s="15"/>
      <c r="C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S683" s="15"/>
      <c r="AT683" s="15"/>
      <c r="AU683" s="15"/>
      <c r="AV683" s="15"/>
      <c r="AX683" s="15"/>
      <c r="AY683" s="15"/>
      <c r="AZ683" s="15"/>
      <c r="BA683" s="15"/>
      <c r="BC683" s="15"/>
      <c r="BF683" s="15"/>
      <c r="BG683" s="15"/>
    </row>
    <row r="684" spans="1:59" ht="14.25" customHeight="1" x14ac:dyDescent="0.3">
      <c r="A684" s="15"/>
      <c r="B684" s="15"/>
      <c r="C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S684" s="15"/>
      <c r="AT684" s="15"/>
      <c r="AU684" s="15"/>
      <c r="AV684" s="15"/>
      <c r="AX684" s="15"/>
      <c r="AY684" s="15"/>
      <c r="AZ684" s="15"/>
      <c r="BA684" s="15"/>
      <c r="BC684" s="15"/>
      <c r="BF684" s="15"/>
      <c r="BG684" s="15"/>
    </row>
    <row r="685" spans="1:59" ht="14.25" customHeight="1" x14ac:dyDescent="0.3">
      <c r="A685" s="15"/>
      <c r="B685" s="15"/>
      <c r="C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S685" s="15"/>
      <c r="AT685" s="15"/>
      <c r="AU685" s="15"/>
      <c r="AV685" s="15"/>
      <c r="AX685" s="15"/>
      <c r="AY685" s="15"/>
      <c r="AZ685" s="15"/>
      <c r="BA685" s="15"/>
      <c r="BC685" s="15"/>
      <c r="BF685" s="15"/>
      <c r="BG685" s="15"/>
    </row>
    <row r="686" spans="1:59" ht="14.25" customHeight="1" x14ac:dyDescent="0.3">
      <c r="A686" s="15"/>
      <c r="B686" s="15"/>
      <c r="C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S686" s="15"/>
      <c r="AT686" s="15"/>
      <c r="AU686" s="15"/>
      <c r="AV686" s="15"/>
      <c r="AX686" s="15"/>
      <c r="AY686" s="15"/>
      <c r="AZ686" s="15"/>
      <c r="BA686" s="15"/>
      <c r="BC686" s="15"/>
      <c r="BF686" s="15"/>
      <c r="BG686" s="15"/>
    </row>
    <row r="687" spans="1:59" ht="14.25" customHeight="1" x14ac:dyDescent="0.3">
      <c r="A687" s="15"/>
      <c r="B687" s="15"/>
      <c r="C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S687" s="15"/>
      <c r="AT687" s="15"/>
      <c r="AU687" s="15"/>
      <c r="AV687" s="15"/>
      <c r="AX687" s="15"/>
      <c r="AY687" s="15"/>
      <c r="AZ687" s="15"/>
      <c r="BA687" s="15"/>
      <c r="BC687" s="15"/>
      <c r="BF687" s="15"/>
      <c r="BG687" s="15"/>
    </row>
    <row r="688" spans="1:59" ht="14.25" customHeight="1" x14ac:dyDescent="0.3">
      <c r="A688" s="15"/>
      <c r="B688" s="15"/>
      <c r="C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S688" s="15"/>
      <c r="AT688" s="15"/>
      <c r="AU688" s="15"/>
      <c r="AV688" s="15"/>
      <c r="AX688" s="15"/>
      <c r="AY688" s="15"/>
      <c r="AZ688" s="15"/>
      <c r="BA688" s="15"/>
      <c r="BC688" s="15"/>
      <c r="BF688" s="15"/>
      <c r="BG688" s="15"/>
    </row>
    <row r="689" spans="1:59" ht="14.25" customHeight="1" x14ac:dyDescent="0.3">
      <c r="A689" s="15"/>
      <c r="B689" s="15"/>
      <c r="C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S689" s="15"/>
      <c r="AT689" s="15"/>
      <c r="AU689" s="15"/>
      <c r="AV689" s="15"/>
      <c r="AX689" s="15"/>
      <c r="AY689" s="15"/>
      <c r="AZ689" s="15"/>
      <c r="BA689" s="15"/>
      <c r="BC689" s="15"/>
      <c r="BF689" s="15"/>
      <c r="BG689" s="15"/>
    </row>
    <row r="690" spans="1:59" ht="14.25" customHeight="1" x14ac:dyDescent="0.3">
      <c r="A690" s="15"/>
      <c r="B690" s="15"/>
      <c r="C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S690" s="15"/>
      <c r="AT690" s="15"/>
      <c r="AU690" s="15"/>
      <c r="AV690" s="15"/>
      <c r="AX690" s="15"/>
      <c r="AY690" s="15"/>
      <c r="AZ690" s="15"/>
      <c r="BA690" s="15"/>
      <c r="BC690" s="15"/>
      <c r="BF690" s="15"/>
      <c r="BG690" s="15"/>
    </row>
    <row r="691" spans="1:59" ht="14.25" customHeight="1" x14ac:dyDescent="0.3">
      <c r="A691" s="15"/>
      <c r="B691" s="15"/>
      <c r="C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S691" s="15"/>
      <c r="AT691" s="15"/>
      <c r="AU691" s="15"/>
      <c r="AV691" s="15"/>
      <c r="AX691" s="15"/>
      <c r="AY691" s="15"/>
      <c r="AZ691" s="15"/>
      <c r="BA691" s="15"/>
      <c r="BC691" s="15"/>
      <c r="BF691" s="15"/>
      <c r="BG691" s="15"/>
    </row>
    <row r="692" spans="1:59" ht="14.25" customHeight="1" x14ac:dyDescent="0.3">
      <c r="A692" s="15"/>
      <c r="B692" s="15"/>
      <c r="C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S692" s="15"/>
      <c r="AT692" s="15"/>
      <c r="AU692" s="15"/>
      <c r="AV692" s="15"/>
      <c r="AX692" s="15"/>
      <c r="AY692" s="15"/>
      <c r="AZ692" s="15"/>
      <c r="BA692" s="15"/>
      <c r="BC692" s="15"/>
      <c r="BF692" s="15"/>
      <c r="BG692" s="15"/>
    </row>
    <row r="693" spans="1:59" ht="14.25" customHeight="1" x14ac:dyDescent="0.3">
      <c r="A693" s="15"/>
      <c r="B693" s="15"/>
      <c r="C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S693" s="15"/>
      <c r="AT693" s="15"/>
      <c r="AU693" s="15"/>
      <c r="AV693" s="15"/>
      <c r="AX693" s="15"/>
      <c r="AY693" s="15"/>
      <c r="AZ693" s="15"/>
      <c r="BA693" s="15"/>
      <c r="BC693" s="15"/>
      <c r="BF693" s="15"/>
      <c r="BG693" s="15"/>
    </row>
    <row r="694" spans="1:59" ht="14.25" customHeight="1" x14ac:dyDescent="0.3">
      <c r="A694" s="15"/>
      <c r="B694" s="15"/>
      <c r="C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S694" s="15"/>
      <c r="AT694" s="15"/>
      <c r="AU694" s="15"/>
      <c r="AV694" s="15"/>
      <c r="AX694" s="15"/>
      <c r="AY694" s="15"/>
      <c r="AZ694" s="15"/>
      <c r="BA694" s="15"/>
      <c r="BC694" s="15"/>
      <c r="BF694" s="15"/>
      <c r="BG694" s="15"/>
    </row>
    <row r="695" spans="1:59" ht="14.25" customHeight="1" x14ac:dyDescent="0.3">
      <c r="A695" s="15"/>
      <c r="B695" s="15"/>
      <c r="C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S695" s="15"/>
      <c r="AT695" s="15"/>
      <c r="AU695" s="15"/>
      <c r="AV695" s="15"/>
      <c r="AX695" s="15"/>
      <c r="AY695" s="15"/>
      <c r="AZ695" s="15"/>
      <c r="BA695" s="15"/>
      <c r="BC695" s="15"/>
      <c r="BF695" s="15"/>
      <c r="BG695" s="15"/>
    </row>
    <row r="696" spans="1:59" ht="14.25" customHeight="1" x14ac:dyDescent="0.3">
      <c r="A696" s="15"/>
      <c r="B696" s="15"/>
      <c r="C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S696" s="15"/>
      <c r="AT696" s="15"/>
      <c r="AU696" s="15"/>
      <c r="AV696" s="15"/>
      <c r="AX696" s="15"/>
      <c r="AY696" s="15"/>
      <c r="AZ696" s="15"/>
      <c r="BA696" s="15"/>
      <c r="BC696" s="15"/>
      <c r="BF696" s="15"/>
      <c r="BG696" s="15"/>
    </row>
    <row r="697" spans="1:59" ht="14.25" customHeight="1" x14ac:dyDescent="0.3">
      <c r="A697" s="15"/>
      <c r="B697" s="15"/>
      <c r="C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S697" s="15"/>
      <c r="AT697" s="15"/>
      <c r="AU697" s="15"/>
      <c r="AV697" s="15"/>
      <c r="AX697" s="15"/>
      <c r="AY697" s="15"/>
      <c r="AZ697" s="15"/>
      <c r="BA697" s="15"/>
      <c r="BC697" s="15"/>
      <c r="BF697" s="15"/>
      <c r="BG697" s="15"/>
    </row>
    <row r="698" spans="1:59" ht="14.25" customHeight="1" x14ac:dyDescent="0.3">
      <c r="A698" s="15"/>
      <c r="B698" s="15"/>
      <c r="C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S698" s="15"/>
      <c r="AT698" s="15"/>
      <c r="AU698" s="15"/>
      <c r="AV698" s="15"/>
      <c r="AX698" s="15"/>
      <c r="AY698" s="15"/>
      <c r="AZ698" s="15"/>
      <c r="BA698" s="15"/>
      <c r="BC698" s="15"/>
      <c r="BF698" s="15"/>
      <c r="BG698" s="15"/>
    </row>
    <row r="699" spans="1:59" ht="14.25" customHeight="1" x14ac:dyDescent="0.3">
      <c r="A699" s="15"/>
      <c r="B699" s="15"/>
      <c r="C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S699" s="15"/>
      <c r="AT699" s="15"/>
      <c r="AU699" s="15"/>
      <c r="AV699" s="15"/>
      <c r="AX699" s="15"/>
      <c r="AY699" s="15"/>
      <c r="AZ699" s="15"/>
      <c r="BA699" s="15"/>
      <c r="BC699" s="15"/>
      <c r="BF699" s="15"/>
      <c r="BG699" s="15"/>
    </row>
    <row r="700" spans="1:59" ht="14.25" customHeight="1" x14ac:dyDescent="0.3">
      <c r="A700" s="15"/>
      <c r="B700" s="15"/>
      <c r="C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S700" s="15"/>
      <c r="AT700" s="15"/>
      <c r="AU700" s="15"/>
      <c r="AV700" s="15"/>
      <c r="AX700" s="15"/>
      <c r="AY700" s="15"/>
      <c r="AZ700" s="15"/>
      <c r="BA700" s="15"/>
      <c r="BC700" s="15"/>
      <c r="BF700" s="15"/>
      <c r="BG700" s="15"/>
    </row>
    <row r="701" spans="1:59" ht="14.25" customHeight="1" x14ac:dyDescent="0.3">
      <c r="A701" s="15"/>
      <c r="B701" s="15"/>
      <c r="C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S701" s="15"/>
      <c r="AT701" s="15"/>
      <c r="AU701" s="15"/>
      <c r="AV701" s="15"/>
      <c r="AX701" s="15"/>
      <c r="AY701" s="15"/>
      <c r="AZ701" s="15"/>
      <c r="BA701" s="15"/>
      <c r="BC701" s="15"/>
      <c r="BF701" s="15"/>
      <c r="BG701" s="15"/>
    </row>
    <row r="702" spans="1:59" ht="14.25" customHeight="1" x14ac:dyDescent="0.3">
      <c r="A702" s="15"/>
      <c r="B702" s="15"/>
      <c r="C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S702" s="15"/>
      <c r="AT702" s="15"/>
      <c r="AU702" s="15"/>
      <c r="AV702" s="15"/>
      <c r="AX702" s="15"/>
      <c r="AY702" s="15"/>
      <c r="AZ702" s="15"/>
      <c r="BA702" s="15"/>
      <c r="BC702" s="15"/>
      <c r="BF702" s="15"/>
      <c r="BG702" s="15"/>
    </row>
    <row r="703" spans="1:59" ht="14.25" customHeight="1" x14ac:dyDescent="0.3">
      <c r="A703" s="15"/>
      <c r="B703" s="15"/>
      <c r="C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S703" s="15"/>
      <c r="AT703" s="15"/>
      <c r="AU703" s="15"/>
      <c r="AV703" s="15"/>
      <c r="AX703" s="15"/>
      <c r="AY703" s="15"/>
      <c r="AZ703" s="15"/>
      <c r="BA703" s="15"/>
      <c r="BC703" s="15"/>
      <c r="BF703" s="15"/>
      <c r="BG703" s="15"/>
    </row>
    <row r="704" spans="1:59" ht="14.25" customHeight="1" x14ac:dyDescent="0.3">
      <c r="A704" s="15"/>
      <c r="B704" s="15"/>
      <c r="C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S704" s="15"/>
      <c r="AT704" s="15"/>
      <c r="AU704" s="15"/>
      <c r="AV704" s="15"/>
      <c r="AX704" s="15"/>
      <c r="AY704" s="15"/>
      <c r="AZ704" s="15"/>
      <c r="BA704" s="15"/>
      <c r="BC704" s="15"/>
      <c r="BF704" s="15"/>
      <c r="BG704" s="15"/>
    </row>
    <row r="705" spans="1:59" ht="14.25" customHeight="1" x14ac:dyDescent="0.3">
      <c r="A705" s="15"/>
      <c r="B705" s="15"/>
      <c r="C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S705" s="15"/>
      <c r="AT705" s="15"/>
      <c r="AU705" s="15"/>
      <c r="AV705" s="15"/>
      <c r="AX705" s="15"/>
      <c r="AY705" s="15"/>
      <c r="AZ705" s="15"/>
      <c r="BA705" s="15"/>
      <c r="BC705" s="15"/>
      <c r="BF705" s="15"/>
      <c r="BG705" s="15"/>
    </row>
    <row r="706" spans="1:59" ht="14.25" customHeight="1" x14ac:dyDescent="0.3">
      <c r="A706" s="15"/>
      <c r="B706" s="15"/>
      <c r="C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S706" s="15"/>
      <c r="AT706" s="15"/>
      <c r="AU706" s="15"/>
      <c r="AV706" s="15"/>
      <c r="AX706" s="15"/>
      <c r="AY706" s="15"/>
      <c r="AZ706" s="15"/>
      <c r="BA706" s="15"/>
      <c r="BC706" s="15"/>
      <c r="BF706" s="15"/>
      <c r="BG706" s="15"/>
    </row>
    <row r="707" spans="1:59" ht="14.25" customHeight="1" x14ac:dyDescent="0.3">
      <c r="A707" s="15"/>
      <c r="B707" s="15"/>
      <c r="C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S707" s="15"/>
      <c r="AT707" s="15"/>
      <c r="AU707" s="15"/>
      <c r="AV707" s="15"/>
      <c r="AX707" s="15"/>
      <c r="AY707" s="15"/>
      <c r="AZ707" s="15"/>
      <c r="BA707" s="15"/>
      <c r="BC707" s="15"/>
      <c r="BF707" s="15"/>
      <c r="BG707" s="15"/>
    </row>
    <row r="708" spans="1:59" ht="14.25" customHeight="1" x14ac:dyDescent="0.3">
      <c r="A708" s="15"/>
      <c r="B708" s="15"/>
      <c r="C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S708" s="15"/>
      <c r="AT708" s="15"/>
      <c r="AU708" s="15"/>
      <c r="AV708" s="15"/>
      <c r="AX708" s="15"/>
      <c r="AY708" s="15"/>
      <c r="AZ708" s="15"/>
      <c r="BA708" s="15"/>
      <c r="BC708" s="15"/>
      <c r="BF708" s="15"/>
      <c r="BG708" s="15"/>
    </row>
    <row r="709" spans="1:59" ht="14.25" customHeight="1" x14ac:dyDescent="0.3">
      <c r="A709" s="15"/>
      <c r="B709" s="15"/>
      <c r="C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S709" s="15"/>
      <c r="AT709" s="15"/>
      <c r="AU709" s="15"/>
      <c r="AV709" s="15"/>
      <c r="AX709" s="15"/>
      <c r="AY709" s="15"/>
      <c r="AZ709" s="15"/>
      <c r="BA709" s="15"/>
      <c r="BC709" s="15"/>
      <c r="BF709" s="15"/>
      <c r="BG709" s="15"/>
    </row>
    <row r="710" spans="1:59" ht="14.25" customHeight="1" x14ac:dyDescent="0.3">
      <c r="A710" s="15"/>
      <c r="B710" s="15"/>
      <c r="C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S710" s="15"/>
      <c r="AT710" s="15"/>
      <c r="AU710" s="15"/>
      <c r="AV710" s="15"/>
      <c r="AX710" s="15"/>
      <c r="AY710" s="15"/>
      <c r="AZ710" s="15"/>
      <c r="BA710" s="15"/>
      <c r="BC710" s="15"/>
      <c r="BF710" s="15"/>
      <c r="BG710" s="15"/>
    </row>
    <row r="711" spans="1:59" ht="14.25" customHeight="1" x14ac:dyDescent="0.3">
      <c r="A711" s="15"/>
      <c r="B711" s="15"/>
      <c r="C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S711" s="15"/>
      <c r="AT711" s="15"/>
      <c r="AU711" s="15"/>
      <c r="AV711" s="15"/>
      <c r="AX711" s="15"/>
      <c r="AY711" s="15"/>
      <c r="AZ711" s="15"/>
      <c r="BA711" s="15"/>
      <c r="BC711" s="15"/>
      <c r="BF711" s="15"/>
      <c r="BG711" s="15"/>
    </row>
    <row r="712" spans="1:59" ht="14.25" customHeight="1" x14ac:dyDescent="0.3">
      <c r="A712" s="15"/>
      <c r="B712" s="15"/>
      <c r="C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S712" s="15"/>
      <c r="AT712" s="15"/>
      <c r="AU712" s="15"/>
      <c r="AV712" s="15"/>
      <c r="AX712" s="15"/>
      <c r="AY712" s="15"/>
      <c r="AZ712" s="15"/>
      <c r="BA712" s="15"/>
      <c r="BC712" s="15"/>
      <c r="BF712" s="15"/>
      <c r="BG712" s="15"/>
    </row>
    <row r="713" spans="1:59" ht="14.25" customHeight="1" x14ac:dyDescent="0.3">
      <c r="A713" s="15"/>
      <c r="B713" s="15"/>
      <c r="C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S713" s="15"/>
      <c r="AT713" s="15"/>
      <c r="AU713" s="15"/>
      <c r="AV713" s="15"/>
      <c r="AX713" s="15"/>
      <c r="AY713" s="15"/>
      <c r="AZ713" s="15"/>
      <c r="BA713" s="15"/>
      <c r="BC713" s="15"/>
      <c r="BF713" s="15"/>
      <c r="BG713" s="15"/>
    </row>
    <row r="714" spans="1:59" ht="14.25" customHeight="1" x14ac:dyDescent="0.3">
      <c r="A714" s="15"/>
      <c r="B714" s="15"/>
      <c r="C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S714" s="15"/>
      <c r="AT714" s="15"/>
      <c r="AU714" s="15"/>
      <c r="AV714" s="15"/>
      <c r="AX714" s="15"/>
      <c r="AY714" s="15"/>
      <c r="AZ714" s="15"/>
      <c r="BA714" s="15"/>
      <c r="BC714" s="15"/>
      <c r="BF714" s="15"/>
      <c r="BG714" s="15"/>
    </row>
    <row r="715" spans="1:59" ht="14.25" customHeight="1" x14ac:dyDescent="0.3">
      <c r="A715" s="15"/>
      <c r="B715" s="15"/>
      <c r="C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S715" s="15"/>
      <c r="AT715" s="15"/>
      <c r="AU715" s="15"/>
      <c r="AV715" s="15"/>
      <c r="AX715" s="15"/>
      <c r="AY715" s="15"/>
      <c r="AZ715" s="15"/>
      <c r="BA715" s="15"/>
      <c r="BC715" s="15"/>
      <c r="BF715" s="15"/>
      <c r="BG715" s="15"/>
    </row>
    <row r="716" spans="1:59" ht="14.25" customHeight="1" x14ac:dyDescent="0.3">
      <c r="A716" s="15"/>
      <c r="B716" s="15"/>
      <c r="C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S716" s="15"/>
      <c r="AT716" s="15"/>
      <c r="AU716" s="15"/>
      <c r="AV716" s="15"/>
      <c r="AX716" s="15"/>
      <c r="AY716" s="15"/>
      <c r="AZ716" s="15"/>
      <c r="BA716" s="15"/>
      <c r="BC716" s="15"/>
      <c r="BF716" s="15"/>
      <c r="BG716" s="15"/>
    </row>
    <row r="717" spans="1:59" ht="14.25" customHeight="1" x14ac:dyDescent="0.3">
      <c r="A717" s="15"/>
      <c r="B717" s="15"/>
      <c r="C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S717" s="15"/>
      <c r="AT717" s="15"/>
      <c r="AU717" s="15"/>
      <c r="AV717" s="15"/>
      <c r="AX717" s="15"/>
      <c r="AY717" s="15"/>
      <c r="AZ717" s="15"/>
      <c r="BA717" s="15"/>
      <c r="BC717" s="15"/>
      <c r="BF717" s="15"/>
      <c r="BG717" s="15"/>
    </row>
    <row r="718" spans="1:59" ht="14.25" customHeight="1" x14ac:dyDescent="0.3">
      <c r="A718" s="15"/>
      <c r="B718" s="15"/>
      <c r="C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S718" s="15"/>
      <c r="AT718" s="15"/>
      <c r="AU718" s="15"/>
      <c r="AV718" s="15"/>
      <c r="AX718" s="15"/>
      <c r="AY718" s="15"/>
      <c r="AZ718" s="15"/>
      <c r="BA718" s="15"/>
      <c r="BC718" s="15"/>
      <c r="BF718" s="15"/>
      <c r="BG718" s="15"/>
    </row>
    <row r="719" spans="1:59" ht="14.25" customHeight="1" x14ac:dyDescent="0.3">
      <c r="A719" s="15"/>
      <c r="B719" s="15"/>
      <c r="C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S719" s="15"/>
      <c r="AT719" s="15"/>
      <c r="AU719" s="15"/>
      <c r="AV719" s="15"/>
      <c r="AX719" s="15"/>
      <c r="AY719" s="15"/>
      <c r="AZ719" s="15"/>
      <c r="BA719" s="15"/>
      <c r="BC719" s="15"/>
      <c r="BF719" s="15"/>
      <c r="BG719" s="15"/>
    </row>
    <row r="720" spans="1:59" ht="14.25" customHeight="1" x14ac:dyDescent="0.3">
      <c r="A720" s="15"/>
      <c r="B720" s="15"/>
      <c r="C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S720" s="15"/>
      <c r="AT720" s="15"/>
      <c r="AU720" s="15"/>
      <c r="AV720" s="15"/>
      <c r="AX720" s="15"/>
      <c r="AY720" s="15"/>
      <c r="AZ720" s="15"/>
      <c r="BA720" s="15"/>
      <c r="BC720" s="15"/>
      <c r="BF720" s="15"/>
      <c r="BG720" s="15"/>
    </row>
    <row r="721" spans="1:59" ht="14.25" customHeight="1" x14ac:dyDescent="0.3">
      <c r="A721" s="15"/>
      <c r="B721" s="15"/>
      <c r="C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S721" s="15"/>
      <c r="AT721" s="15"/>
      <c r="AU721" s="15"/>
      <c r="AV721" s="15"/>
      <c r="AX721" s="15"/>
      <c r="AY721" s="15"/>
      <c r="AZ721" s="15"/>
      <c r="BA721" s="15"/>
      <c r="BC721" s="15"/>
      <c r="BF721" s="15"/>
      <c r="BG721" s="15"/>
    </row>
    <row r="722" spans="1:59" ht="14.25" customHeight="1" x14ac:dyDescent="0.3">
      <c r="A722" s="15"/>
      <c r="B722" s="15"/>
      <c r="C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S722" s="15"/>
      <c r="AT722" s="15"/>
      <c r="AU722" s="15"/>
      <c r="AV722" s="15"/>
      <c r="AX722" s="15"/>
      <c r="AY722" s="15"/>
      <c r="AZ722" s="15"/>
      <c r="BA722" s="15"/>
      <c r="BC722" s="15"/>
      <c r="BF722" s="15"/>
      <c r="BG722" s="15"/>
    </row>
    <row r="723" spans="1:59" ht="14.25" customHeight="1" x14ac:dyDescent="0.3">
      <c r="A723" s="15"/>
      <c r="B723" s="15"/>
      <c r="C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S723" s="15"/>
      <c r="AT723" s="15"/>
      <c r="AU723" s="15"/>
      <c r="AV723" s="15"/>
      <c r="AX723" s="15"/>
      <c r="AY723" s="15"/>
      <c r="AZ723" s="15"/>
      <c r="BA723" s="15"/>
      <c r="BC723" s="15"/>
      <c r="BF723" s="15"/>
      <c r="BG723" s="15"/>
    </row>
    <row r="724" spans="1:59" ht="14.25" customHeight="1" x14ac:dyDescent="0.3">
      <c r="A724" s="15"/>
      <c r="B724" s="15"/>
      <c r="C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S724" s="15"/>
      <c r="AT724" s="15"/>
      <c r="AU724" s="15"/>
      <c r="AV724" s="15"/>
      <c r="AX724" s="15"/>
      <c r="AY724" s="15"/>
      <c r="AZ724" s="15"/>
      <c r="BA724" s="15"/>
      <c r="BC724" s="15"/>
      <c r="BF724" s="15"/>
      <c r="BG724" s="15"/>
    </row>
    <row r="725" spans="1:59" ht="14.25" customHeight="1" x14ac:dyDescent="0.3">
      <c r="A725" s="15"/>
      <c r="B725" s="15"/>
      <c r="C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S725" s="15"/>
      <c r="AT725" s="15"/>
      <c r="AU725" s="15"/>
      <c r="AV725" s="15"/>
      <c r="AX725" s="15"/>
      <c r="AY725" s="15"/>
      <c r="AZ725" s="15"/>
      <c r="BA725" s="15"/>
      <c r="BC725" s="15"/>
      <c r="BF725" s="15"/>
      <c r="BG725" s="15"/>
    </row>
    <row r="726" spans="1:59" ht="14.25" customHeight="1" x14ac:dyDescent="0.3">
      <c r="A726" s="15"/>
      <c r="B726" s="15"/>
      <c r="C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S726" s="15"/>
      <c r="AT726" s="15"/>
      <c r="AU726" s="15"/>
      <c r="AV726" s="15"/>
      <c r="AX726" s="15"/>
      <c r="AY726" s="15"/>
      <c r="AZ726" s="15"/>
      <c r="BA726" s="15"/>
      <c r="BC726" s="15"/>
      <c r="BF726" s="15"/>
      <c r="BG726" s="15"/>
    </row>
    <row r="727" spans="1:59" ht="14.25" customHeight="1" x14ac:dyDescent="0.3">
      <c r="A727" s="15"/>
      <c r="B727" s="15"/>
      <c r="C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S727" s="15"/>
      <c r="AT727" s="15"/>
      <c r="AU727" s="15"/>
      <c r="AV727" s="15"/>
      <c r="AX727" s="15"/>
      <c r="AY727" s="15"/>
      <c r="AZ727" s="15"/>
      <c r="BA727" s="15"/>
      <c r="BC727" s="15"/>
      <c r="BF727" s="15"/>
      <c r="BG727" s="15"/>
    </row>
    <row r="728" spans="1:59" ht="14.25" customHeight="1" x14ac:dyDescent="0.3">
      <c r="A728" s="15"/>
      <c r="B728" s="15"/>
      <c r="C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S728" s="15"/>
      <c r="AT728" s="15"/>
      <c r="AU728" s="15"/>
      <c r="AV728" s="15"/>
      <c r="AX728" s="15"/>
      <c r="AY728" s="15"/>
      <c r="AZ728" s="15"/>
      <c r="BA728" s="15"/>
      <c r="BC728" s="15"/>
      <c r="BF728" s="15"/>
      <c r="BG728" s="15"/>
    </row>
    <row r="729" spans="1:59" ht="14.25" customHeight="1" x14ac:dyDescent="0.3">
      <c r="A729" s="15"/>
      <c r="B729" s="15"/>
      <c r="C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S729" s="15"/>
      <c r="AT729" s="15"/>
      <c r="AU729" s="15"/>
      <c r="AV729" s="15"/>
      <c r="AX729" s="15"/>
      <c r="AY729" s="15"/>
      <c r="AZ729" s="15"/>
      <c r="BA729" s="15"/>
      <c r="BC729" s="15"/>
      <c r="BF729" s="15"/>
      <c r="BG729" s="15"/>
    </row>
    <row r="730" spans="1:59" ht="14.25" customHeight="1" x14ac:dyDescent="0.3">
      <c r="A730" s="15"/>
      <c r="B730" s="15"/>
      <c r="C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S730" s="15"/>
      <c r="AT730" s="15"/>
      <c r="AU730" s="15"/>
      <c r="AV730" s="15"/>
      <c r="AX730" s="15"/>
      <c r="AY730" s="15"/>
      <c r="AZ730" s="15"/>
      <c r="BA730" s="15"/>
      <c r="BC730" s="15"/>
      <c r="BF730" s="15"/>
      <c r="BG730" s="15"/>
    </row>
    <row r="731" spans="1:59" ht="14.25" customHeight="1" x14ac:dyDescent="0.3">
      <c r="A731" s="15"/>
      <c r="B731" s="15"/>
      <c r="C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S731" s="15"/>
      <c r="AT731" s="15"/>
      <c r="AU731" s="15"/>
      <c r="AV731" s="15"/>
      <c r="AX731" s="15"/>
      <c r="AY731" s="15"/>
      <c r="AZ731" s="15"/>
      <c r="BA731" s="15"/>
      <c r="BC731" s="15"/>
      <c r="BF731" s="15"/>
      <c r="BG731" s="15"/>
    </row>
    <row r="732" spans="1:59" ht="14.25" customHeight="1" x14ac:dyDescent="0.3">
      <c r="A732" s="15"/>
      <c r="B732" s="15"/>
      <c r="C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S732" s="15"/>
      <c r="AT732" s="15"/>
      <c r="AU732" s="15"/>
      <c r="AV732" s="15"/>
      <c r="AX732" s="15"/>
      <c r="AY732" s="15"/>
      <c r="AZ732" s="15"/>
      <c r="BA732" s="15"/>
      <c r="BC732" s="15"/>
      <c r="BF732" s="15"/>
      <c r="BG732" s="15"/>
    </row>
    <row r="733" spans="1:59" ht="14.25" customHeight="1" x14ac:dyDescent="0.3">
      <c r="A733" s="15"/>
      <c r="B733" s="15"/>
      <c r="C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S733" s="15"/>
      <c r="AT733" s="15"/>
      <c r="AU733" s="15"/>
      <c r="AV733" s="15"/>
      <c r="AX733" s="15"/>
      <c r="AY733" s="15"/>
      <c r="AZ733" s="15"/>
      <c r="BA733" s="15"/>
      <c r="BC733" s="15"/>
      <c r="BF733" s="15"/>
      <c r="BG733" s="15"/>
    </row>
    <row r="734" spans="1:59" ht="14.25" customHeight="1" x14ac:dyDescent="0.3">
      <c r="A734" s="15"/>
      <c r="B734" s="15"/>
      <c r="C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S734" s="15"/>
      <c r="AT734" s="15"/>
      <c r="AU734" s="15"/>
      <c r="AV734" s="15"/>
      <c r="AX734" s="15"/>
      <c r="AY734" s="15"/>
      <c r="AZ734" s="15"/>
      <c r="BA734" s="15"/>
      <c r="BC734" s="15"/>
      <c r="BF734" s="15"/>
      <c r="BG734" s="15"/>
    </row>
    <row r="735" spans="1:59" ht="14.25" customHeight="1" x14ac:dyDescent="0.3">
      <c r="A735" s="15"/>
      <c r="B735" s="15"/>
      <c r="C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S735" s="15"/>
      <c r="AT735" s="15"/>
      <c r="AU735" s="15"/>
      <c r="AV735" s="15"/>
      <c r="AX735" s="15"/>
      <c r="AY735" s="15"/>
      <c r="AZ735" s="15"/>
      <c r="BA735" s="15"/>
      <c r="BC735" s="15"/>
      <c r="BF735" s="15"/>
      <c r="BG735" s="15"/>
    </row>
    <row r="736" spans="1:59" ht="14.25" customHeight="1" x14ac:dyDescent="0.3">
      <c r="A736" s="15"/>
      <c r="B736" s="15"/>
      <c r="C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S736" s="15"/>
      <c r="AT736" s="15"/>
      <c r="AU736" s="15"/>
      <c r="AV736" s="15"/>
      <c r="AX736" s="15"/>
      <c r="AY736" s="15"/>
      <c r="AZ736" s="15"/>
      <c r="BA736" s="15"/>
      <c r="BC736" s="15"/>
      <c r="BF736" s="15"/>
      <c r="BG736" s="15"/>
    </row>
    <row r="737" spans="1:59" ht="14.25" customHeight="1" x14ac:dyDescent="0.3">
      <c r="A737" s="15"/>
      <c r="B737" s="15"/>
      <c r="C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S737" s="15"/>
      <c r="AT737" s="15"/>
      <c r="AU737" s="15"/>
      <c r="AV737" s="15"/>
      <c r="AX737" s="15"/>
      <c r="AY737" s="15"/>
      <c r="AZ737" s="15"/>
      <c r="BA737" s="15"/>
      <c r="BC737" s="15"/>
      <c r="BF737" s="15"/>
      <c r="BG737" s="15"/>
    </row>
    <row r="738" spans="1:59" ht="14.25" customHeight="1" x14ac:dyDescent="0.3">
      <c r="A738" s="15"/>
      <c r="B738" s="15"/>
      <c r="C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S738" s="15"/>
      <c r="AT738" s="15"/>
      <c r="AU738" s="15"/>
      <c r="AV738" s="15"/>
      <c r="AX738" s="15"/>
      <c r="AY738" s="15"/>
      <c r="AZ738" s="15"/>
      <c r="BA738" s="15"/>
      <c r="BC738" s="15"/>
      <c r="BF738" s="15"/>
      <c r="BG738" s="15"/>
    </row>
    <row r="739" spans="1:59" ht="14.25" customHeight="1" x14ac:dyDescent="0.3">
      <c r="A739" s="15"/>
      <c r="B739" s="15"/>
      <c r="C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S739" s="15"/>
      <c r="AT739" s="15"/>
      <c r="AU739" s="15"/>
      <c r="AV739" s="15"/>
      <c r="AX739" s="15"/>
      <c r="AY739" s="15"/>
      <c r="AZ739" s="15"/>
      <c r="BA739" s="15"/>
      <c r="BC739" s="15"/>
      <c r="BF739" s="15"/>
      <c r="BG739" s="15"/>
    </row>
    <row r="740" spans="1:59" ht="14.25" customHeight="1" x14ac:dyDescent="0.3">
      <c r="A740" s="15"/>
      <c r="B740" s="15"/>
      <c r="C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S740" s="15"/>
      <c r="AT740" s="15"/>
      <c r="AU740" s="15"/>
      <c r="AV740" s="15"/>
      <c r="AX740" s="15"/>
      <c r="AY740" s="15"/>
      <c r="AZ740" s="15"/>
      <c r="BA740" s="15"/>
      <c r="BC740" s="15"/>
      <c r="BF740" s="15"/>
      <c r="BG740" s="15"/>
    </row>
    <row r="741" spans="1:59" ht="14.25" customHeight="1" x14ac:dyDescent="0.3">
      <c r="A741" s="15"/>
      <c r="B741" s="15"/>
      <c r="C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S741" s="15"/>
      <c r="AT741" s="15"/>
      <c r="AU741" s="15"/>
      <c r="AV741" s="15"/>
      <c r="AX741" s="15"/>
      <c r="AY741" s="15"/>
      <c r="AZ741" s="15"/>
      <c r="BA741" s="15"/>
      <c r="BC741" s="15"/>
      <c r="BF741" s="15"/>
      <c r="BG741" s="15"/>
    </row>
    <row r="742" spans="1:59" ht="14.25" customHeight="1" x14ac:dyDescent="0.3">
      <c r="A742" s="15"/>
      <c r="B742" s="15"/>
      <c r="C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S742" s="15"/>
      <c r="AT742" s="15"/>
      <c r="AU742" s="15"/>
      <c r="AV742" s="15"/>
      <c r="AX742" s="15"/>
      <c r="AY742" s="15"/>
      <c r="AZ742" s="15"/>
      <c r="BA742" s="15"/>
      <c r="BC742" s="15"/>
      <c r="BF742" s="15"/>
      <c r="BG742" s="15"/>
    </row>
    <row r="743" spans="1:59" ht="14.25" customHeight="1" x14ac:dyDescent="0.3">
      <c r="A743" s="15"/>
      <c r="B743" s="15"/>
      <c r="C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S743" s="15"/>
      <c r="AT743" s="15"/>
      <c r="AU743" s="15"/>
      <c r="AV743" s="15"/>
      <c r="AX743" s="15"/>
      <c r="AY743" s="15"/>
      <c r="AZ743" s="15"/>
      <c r="BA743" s="15"/>
      <c r="BC743" s="15"/>
      <c r="BF743" s="15"/>
      <c r="BG743" s="15"/>
    </row>
    <row r="744" spans="1:59" ht="14.25" customHeight="1" x14ac:dyDescent="0.3">
      <c r="A744" s="15"/>
      <c r="B744" s="15"/>
      <c r="C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S744" s="15"/>
      <c r="AT744" s="15"/>
      <c r="AU744" s="15"/>
      <c r="AV744" s="15"/>
      <c r="AX744" s="15"/>
      <c r="AY744" s="15"/>
      <c r="AZ744" s="15"/>
      <c r="BA744" s="15"/>
      <c r="BC744" s="15"/>
      <c r="BF744" s="15"/>
      <c r="BG744" s="15"/>
    </row>
    <row r="745" spans="1:59" ht="14.25" customHeight="1" x14ac:dyDescent="0.3">
      <c r="A745" s="15"/>
      <c r="B745" s="15"/>
      <c r="C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S745" s="15"/>
      <c r="AT745" s="15"/>
      <c r="AU745" s="15"/>
      <c r="AV745" s="15"/>
      <c r="AX745" s="15"/>
      <c r="AY745" s="15"/>
      <c r="AZ745" s="15"/>
      <c r="BA745" s="15"/>
      <c r="BC745" s="15"/>
      <c r="BF745" s="15"/>
      <c r="BG745" s="15"/>
    </row>
    <row r="746" spans="1:59" ht="14.25" customHeight="1" x14ac:dyDescent="0.3">
      <c r="A746" s="15"/>
      <c r="B746" s="15"/>
      <c r="C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S746" s="15"/>
      <c r="AT746" s="15"/>
      <c r="AU746" s="15"/>
      <c r="AV746" s="15"/>
      <c r="AX746" s="15"/>
      <c r="AY746" s="15"/>
      <c r="AZ746" s="15"/>
      <c r="BA746" s="15"/>
      <c r="BC746" s="15"/>
      <c r="BF746" s="15"/>
      <c r="BG746" s="15"/>
    </row>
    <row r="747" spans="1:59" ht="14.25" customHeight="1" x14ac:dyDescent="0.3">
      <c r="A747" s="15"/>
      <c r="B747" s="15"/>
      <c r="C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S747" s="15"/>
      <c r="AT747" s="15"/>
      <c r="AU747" s="15"/>
      <c r="AV747" s="15"/>
      <c r="AX747" s="15"/>
      <c r="AY747" s="15"/>
      <c r="AZ747" s="15"/>
      <c r="BA747" s="15"/>
      <c r="BC747" s="15"/>
      <c r="BF747" s="15"/>
      <c r="BG747" s="15"/>
    </row>
    <row r="748" spans="1:59" ht="14.25" customHeight="1" x14ac:dyDescent="0.3">
      <c r="A748" s="15"/>
      <c r="B748" s="15"/>
      <c r="C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S748" s="15"/>
      <c r="AT748" s="15"/>
      <c r="AU748" s="15"/>
      <c r="AV748" s="15"/>
      <c r="AX748" s="15"/>
      <c r="AY748" s="15"/>
      <c r="AZ748" s="15"/>
      <c r="BA748" s="15"/>
      <c r="BC748" s="15"/>
      <c r="BF748" s="15"/>
      <c r="BG748" s="15"/>
    </row>
    <row r="749" spans="1:59" ht="14.25" customHeight="1" x14ac:dyDescent="0.3">
      <c r="A749" s="15"/>
      <c r="B749" s="15"/>
      <c r="C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S749" s="15"/>
      <c r="AT749" s="15"/>
      <c r="AU749" s="15"/>
      <c r="AV749" s="15"/>
      <c r="AX749" s="15"/>
      <c r="AY749" s="15"/>
      <c r="AZ749" s="15"/>
      <c r="BA749" s="15"/>
      <c r="BC749" s="15"/>
      <c r="BF749" s="15"/>
      <c r="BG749" s="15"/>
    </row>
    <row r="750" spans="1:59" ht="14.25" customHeight="1" x14ac:dyDescent="0.3">
      <c r="A750" s="15"/>
      <c r="B750" s="15"/>
      <c r="C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S750" s="15"/>
      <c r="AT750" s="15"/>
      <c r="AU750" s="15"/>
      <c r="AV750" s="15"/>
      <c r="AX750" s="15"/>
      <c r="AY750" s="15"/>
      <c r="AZ750" s="15"/>
      <c r="BA750" s="15"/>
      <c r="BC750" s="15"/>
      <c r="BF750" s="15"/>
      <c r="BG750" s="15"/>
    </row>
    <row r="751" spans="1:59" ht="14.25" customHeight="1" x14ac:dyDescent="0.3">
      <c r="A751" s="15"/>
      <c r="B751" s="15"/>
      <c r="C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S751" s="15"/>
      <c r="AT751" s="15"/>
      <c r="AU751" s="15"/>
      <c r="AV751" s="15"/>
      <c r="AX751" s="15"/>
      <c r="AY751" s="15"/>
      <c r="AZ751" s="15"/>
      <c r="BA751" s="15"/>
      <c r="BC751" s="15"/>
      <c r="BF751" s="15"/>
      <c r="BG751" s="15"/>
    </row>
    <row r="752" spans="1:59" ht="14.25" customHeight="1" x14ac:dyDescent="0.3">
      <c r="A752" s="15"/>
      <c r="B752" s="15"/>
      <c r="C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S752" s="15"/>
      <c r="AT752" s="15"/>
      <c r="AU752" s="15"/>
      <c r="AV752" s="15"/>
      <c r="AX752" s="15"/>
      <c r="AY752" s="15"/>
      <c r="AZ752" s="15"/>
      <c r="BA752" s="15"/>
      <c r="BC752" s="15"/>
      <c r="BF752" s="15"/>
      <c r="BG752" s="15"/>
    </row>
    <row r="753" spans="1:59" ht="14.25" customHeight="1" x14ac:dyDescent="0.3">
      <c r="A753" s="15"/>
      <c r="B753" s="15"/>
      <c r="C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S753" s="15"/>
      <c r="AT753" s="15"/>
      <c r="AU753" s="15"/>
      <c r="AV753" s="15"/>
      <c r="AX753" s="15"/>
      <c r="AY753" s="15"/>
      <c r="AZ753" s="15"/>
      <c r="BA753" s="15"/>
      <c r="BC753" s="15"/>
      <c r="BF753" s="15"/>
      <c r="BG753" s="15"/>
    </row>
    <row r="754" spans="1:59" ht="14.25" customHeight="1" x14ac:dyDescent="0.3">
      <c r="A754" s="15"/>
      <c r="B754" s="15"/>
      <c r="C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S754" s="15"/>
      <c r="AT754" s="15"/>
      <c r="AU754" s="15"/>
      <c r="AV754" s="15"/>
      <c r="AX754" s="15"/>
      <c r="AY754" s="15"/>
      <c r="AZ754" s="15"/>
      <c r="BA754" s="15"/>
      <c r="BC754" s="15"/>
      <c r="BF754" s="15"/>
      <c r="BG754" s="15"/>
    </row>
    <row r="755" spans="1:59" ht="14.25" customHeight="1" x14ac:dyDescent="0.3">
      <c r="A755" s="15"/>
      <c r="B755" s="15"/>
      <c r="C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S755" s="15"/>
      <c r="AT755" s="15"/>
      <c r="AU755" s="15"/>
      <c r="AV755" s="15"/>
      <c r="AX755" s="15"/>
      <c r="AY755" s="15"/>
      <c r="AZ755" s="15"/>
      <c r="BA755" s="15"/>
      <c r="BC755" s="15"/>
      <c r="BF755" s="15"/>
      <c r="BG755" s="15"/>
    </row>
    <row r="756" spans="1:59" ht="14.25" customHeight="1" x14ac:dyDescent="0.3">
      <c r="A756" s="15"/>
      <c r="B756" s="15"/>
      <c r="C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S756" s="15"/>
      <c r="AT756" s="15"/>
      <c r="AU756" s="15"/>
      <c r="AV756" s="15"/>
      <c r="AX756" s="15"/>
      <c r="AY756" s="15"/>
      <c r="AZ756" s="15"/>
      <c r="BA756" s="15"/>
      <c r="BC756" s="15"/>
      <c r="BF756" s="15"/>
      <c r="BG756" s="15"/>
    </row>
    <row r="757" spans="1:59" ht="14.25" customHeight="1" x14ac:dyDescent="0.3">
      <c r="A757" s="15"/>
      <c r="B757" s="15"/>
      <c r="C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S757" s="15"/>
      <c r="AT757" s="15"/>
      <c r="AU757" s="15"/>
      <c r="AV757" s="15"/>
      <c r="AX757" s="15"/>
      <c r="AY757" s="15"/>
      <c r="AZ757" s="15"/>
      <c r="BA757" s="15"/>
      <c r="BC757" s="15"/>
      <c r="BF757" s="15"/>
      <c r="BG757" s="15"/>
    </row>
    <row r="758" spans="1:59" ht="14.25" customHeight="1" x14ac:dyDescent="0.3">
      <c r="A758" s="15"/>
      <c r="B758" s="15"/>
      <c r="C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S758" s="15"/>
      <c r="AT758" s="15"/>
      <c r="AU758" s="15"/>
      <c r="AV758" s="15"/>
      <c r="AX758" s="15"/>
      <c r="AY758" s="15"/>
      <c r="AZ758" s="15"/>
      <c r="BA758" s="15"/>
      <c r="BC758" s="15"/>
      <c r="BF758" s="15"/>
      <c r="BG758" s="15"/>
    </row>
    <row r="759" spans="1:59" ht="14.25" customHeight="1" x14ac:dyDescent="0.3">
      <c r="A759" s="15"/>
      <c r="B759" s="15"/>
      <c r="C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S759" s="15"/>
      <c r="AT759" s="15"/>
      <c r="AU759" s="15"/>
      <c r="AV759" s="15"/>
      <c r="AX759" s="15"/>
      <c r="AY759" s="15"/>
      <c r="AZ759" s="15"/>
      <c r="BA759" s="15"/>
      <c r="BC759" s="15"/>
      <c r="BF759" s="15"/>
      <c r="BG759" s="15"/>
    </row>
    <row r="760" spans="1:59" ht="14.25" customHeight="1" x14ac:dyDescent="0.3">
      <c r="A760" s="15"/>
      <c r="B760" s="15"/>
      <c r="C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S760" s="15"/>
      <c r="AT760" s="15"/>
      <c r="AU760" s="15"/>
      <c r="AV760" s="15"/>
      <c r="AX760" s="15"/>
      <c r="AY760" s="15"/>
      <c r="AZ760" s="15"/>
      <c r="BA760" s="15"/>
      <c r="BC760" s="15"/>
      <c r="BF760" s="15"/>
      <c r="BG760" s="15"/>
    </row>
    <row r="761" spans="1:59" ht="14.25" customHeight="1" x14ac:dyDescent="0.3">
      <c r="A761" s="15"/>
      <c r="B761" s="15"/>
      <c r="C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S761" s="15"/>
      <c r="AT761" s="15"/>
      <c r="AU761" s="15"/>
      <c r="AV761" s="15"/>
      <c r="AX761" s="15"/>
      <c r="AY761" s="15"/>
      <c r="AZ761" s="15"/>
      <c r="BA761" s="15"/>
      <c r="BC761" s="15"/>
      <c r="BF761" s="15"/>
      <c r="BG761" s="15"/>
    </row>
    <row r="762" spans="1:59" ht="14.25" customHeight="1" x14ac:dyDescent="0.3">
      <c r="A762" s="15"/>
      <c r="B762" s="15"/>
      <c r="C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S762" s="15"/>
      <c r="AT762" s="15"/>
      <c r="AU762" s="15"/>
      <c r="AV762" s="15"/>
      <c r="AX762" s="15"/>
      <c r="AY762" s="15"/>
      <c r="AZ762" s="15"/>
      <c r="BA762" s="15"/>
      <c r="BC762" s="15"/>
      <c r="BF762" s="15"/>
      <c r="BG762" s="15"/>
    </row>
    <row r="763" spans="1:59" ht="14.25" customHeight="1" x14ac:dyDescent="0.3">
      <c r="A763" s="15"/>
      <c r="B763" s="15"/>
      <c r="C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S763" s="15"/>
      <c r="AT763" s="15"/>
      <c r="AU763" s="15"/>
      <c r="AV763" s="15"/>
      <c r="AX763" s="15"/>
      <c r="AY763" s="15"/>
      <c r="AZ763" s="15"/>
      <c r="BA763" s="15"/>
      <c r="BC763" s="15"/>
      <c r="BF763" s="15"/>
      <c r="BG763" s="15"/>
    </row>
    <row r="764" spans="1:59" ht="14.25" customHeight="1" x14ac:dyDescent="0.3">
      <c r="A764" s="15"/>
      <c r="B764" s="15"/>
      <c r="C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S764" s="15"/>
      <c r="AT764" s="15"/>
      <c r="AU764" s="15"/>
      <c r="AV764" s="15"/>
      <c r="AX764" s="15"/>
      <c r="AY764" s="15"/>
      <c r="AZ764" s="15"/>
      <c r="BA764" s="15"/>
      <c r="BC764" s="15"/>
      <c r="BF764" s="15"/>
      <c r="BG764" s="15"/>
    </row>
    <row r="765" spans="1:59" ht="14.25" customHeight="1" x14ac:dyDescent="0.3">
      <c r="A765" s="15"/>
      <c r="B765" s="15"/>
      <c r="C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S765" s="15"/>
      <c r="AT765" s="15"/>
      <c r="AU765" s="15"/>
      <c r="AV765" s="15"/>
      <c r="AX765" s="15"/>
      <c r="AY765" s="15"/>
      <c r="AZ765" s="15"/>
      <c r="BA765" s="15"/>
      <c r="BC765" s="15"/>
      <c r="BF765" s="15"/>
      <c r="BG765" s="15"/>
    </row>
    <row r="766" spans="1:59" ht="14.25" customHeight="1" x14ac:dyDescent="0.3">
      <c r="A766" s="15"/>
      <c r="B766" s="15"/>
      <c r="C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S766" s="15"/>
      <c r="AT766" s="15"/>
      <c r="AU766" s="15"/>
      <c r="AV766" s="15"/>
      <c r="AX766" s="15"/>
      <c r="AY766" s="15"/>
      <c r="AZ766" s="15"/>
      <c r="BA766" s="15"/>
      <c r="BC766" s="15"/>
      <c r="BF766" s="15"/>
      <c r="BG766" s="15"/>
    </row>
    <row r="767" spans="1:59" ht="14.25" customHeight="1" x14ac:dyDescent="0.3">
      <c r="A767" s="15"/>
      <c r="B767" s="15"/>
      <c r="C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S767" s="15"/>
      <c r="AT767" s="15"/>
      <c r="AU767" s="15"/>
      <c r="AV767" s="15"/>
      <c r="AX767" s="15"/>
      <c r="AY767" s="15"/>
      <c r="AZ767" s="15"/>
      <c r="BA767" s="15"/>
      <c r="BC767" s="15"/>
      <c r="BF767" s="15"/>
      <c r="BG767" s="15"/>
    </row>
    <row r="768" spans="1:59" ht="14.25" customHeight="1" x14ac:dyDescent="0.3">
      <c r="A768" s="15"/>
      <c r="B768" s="15"/>
      <c r="C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S768" s="15"/>
      <c r="AT768" s="15"/>
      <c r="AU768" s="15"/>
      <c r="AV768" s="15"/>
      <c r="AX768" s="15"/>
      <c r="AY768" s="15"/>
      <c r="AZ768" s="15"/>
      <c r="BA768" s="15"/>
      <c r="BC768" s="15"/>
      <c r="BF768" s="15"/>
      <c r="BG768" s="15"/>
    </row>
    <row r="769" spans="1:59" ht="14.25" customHeight="1" x14ac:dyDescent="0.3">
      <c r="A769" s="15"/>
      <c r="B769" s="15"/>
      <c r="C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S769" s="15"/>
      <c r="AT769" s="15"/>
      <c r="AU769" s="15"/>
      <c r="AV769" s="15"/>
      <c r="AX769" s="15"/>
      <c r="AY769" s="15"/>
      <c r="AZ769" s="15"/>
      <c r="BA769" s="15"/>
      <c r="BC769" s="15"/>
      <c r="BF769" s="15"/>
      <c r="BG769" s="15"/>
    </row>
    <row r="770" spans="1:59" ht="14.25" customHeight="1" x14ac:dyDescent="0.3">
      <c r="A770" s="15"/>
      <c r="B770" s="15"/>
      <c r="C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S770" s="15"/>
      <c r="AT770" s="15"/>
      <c r="AU770" s="15"/>
      <c r="AV770" s="15"/>
      <c r="AX770" s="15"/>
      <c r="AY770" s="15"/>
      <c r="AZ770" s="15"/>
      <c r="BA770" s="15"/>
      <c r="BC770" s="15"/>
      <c r="BF770" s="15"/>
      <c r="BG770" s="15"/>
    </row>
    <row r="771" spans="1:59" ht="14.25" customHeight="1" x14ac:dyDescent="0.3">
      <c r="A771" s="15"/>
      <c r="B771" s="15"/>
      <c r="C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S771" s="15"/>
      <c r="AT771" s="15"/>
      <c r="AU771" s="15"/>
      <c r="AV771" s="15"/>
      <c r="AX771" s="15"/>
      <c r="AY771" s="15"/>
      <c r="AZ771" s="15"/>
      <c r="BA771" s="15"/>
      <c r="BC771" s="15"/>
      <c r="BF771" s="15"/>
      <c r="BG771" s="15"/>
    </row>
    <row r="772" spans="1:59" ht="14.25" customHeight="1" x14ac:dyDescent="0.3">
      <c r="A772" s="15"/>
      <c r="B772" s="15"/>
      <c r="C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S772" s="15"/>
      <c r="AT772" s="15"/>
      <c r="AU772" s="15"/>
      <c r="AV772" s="15"/>
      <c r="AX772" s="15"/>
      <c r="AY772" s="15"/>
      <c r="AZ772" s="15"/>
      <c r="BA772" s="15"/>
      <c r="BC772" s="15"/>
      <c r="BF772" s="15"/>
      <c r="BG772" s="15"/>
    </row>
    <row r="773" spans="1:59" ht="14.25" customHeight="1" x14ac:dyDescent="0.3">
      <c r="A773" s="15"/>
      <c r="B773" s="15"/>
      <c r="C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S773" s="15"/>
      <c r="AT773" s="15"/>
      <c r="AU773" s="15"/>
      <c r="AV773" s="15"/>
      <c r="AX773" s="15"/>
      <c r="AY773" s="15"/>
      <c r="AZ773" s="15"/>
      <c r="BA773" s="15"/>
      <c r="BC773" s="15"/>
      <c r="BF773" s="15"/>
      <c r="BG773" s="15"/>
    </row>
    <row r="774" spans="1:59" ht="14.25" customHeight="1" x14ac:dyDescent="0.3">
      <c r="A774" s="15"/>
      <c r="B774" s="15"/>
      <c r="C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S774" s="15"/>
      <c r="AT774" s="15"/>
      <c r="AU774" s="15"/>
      <c r="AV774" s="15"/>
      <c r="AX774" s="15"/>
      <c r="AY774" s="15"/>
      <c r="AZ774" s="15"/>
      <c r="BA774" s="15"/>
      <c r="BC774" s="15"/>
      <c r="BF774" s="15"/>
      <c r="BG774" s="15"/>
    </row>
    <row r="775" spans="1:59" ht="14.25" customHeight="1" x14ac:dyDescent="0.3">
      <c r="A775" s="15"/>
      <c r="B775" s="15"/>
      <c r="C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S775" s="15"/>
      <c r="AT775" s="15"/>
      <c r="AU775" s="15"/>
      <c r="AV775" s="15"/>
      <c r="AX775" s="15"/>
      <c r="AY775" s="15"/>
      <c r="AZ775" s="15"/>
      <c r="BA775" s="15"/>
      <c r="BC775" s="15"/>
      <c r="BF775" s="15"/>
      <c r="BG775" s="15"/>
    </row>
    <row r="776" spans="1:59" ht="14.25" customHeight="1" x14ac:dyDescent="0.3">
      <c r="A776" s="15"/>
      <c r="B776" s="15"/>
      <c r="C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S776" s="15"/>
      <c r="AT776" s="15"/>
      <c r="AU776" s="15"/>
      <c r="AV776" s="15"/>
      <c r="AX776" s="15"/>
      <c r="AY776" s="15"/>
      <c r="AZ776" s="15"/>
      <c r="BA776" s="15"/>
      <c r="BC776" s="15"/>
      <c r="BF776" s="15"/>
      <c r="BG776" s="15"/>
    </row>
    <row r="777" spans="1:59" ht="14.25" customHeight="1" x14ac:dyDescent="0.3">
      <c r="A777" s="15"/>
      <c r="B777" s="15"/>
      <c r="C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S777" s="15"/>
      <c r="AT777" s="15"/>
      <c r="AU777" s="15"/>
      <c r="AV777" s="15"/>
      <c r="AX777" s="15"/>
      <c r="AY777" s="15"/>
      <c r="AZ777" s="15"/>
      <c r="BA777" s="15"/>
      <c r="BC777" s="15"/>
      <c r="BF777" s="15"/>
      <c r="BG777" s="15"/>
    </row>
    <row r="778" spans="1:59" ht="14.25" customHeight="1" x14ac:dyDescent="0.3">
      <c r="A778" s="15"/>
      <c r="B778" s="15"/>
      <c r="C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S778" s="15"/>
      <c r="AT778" s="15"/>
      <c r="AU778" s="15"/>
      <c r="AV778" s="15"/>
      <c r="AX778" s="15"/>
      <c r="AY778" s="15"/>
      <c r="AZ778" s="15"/>
      <c r="BA778" s="15"/>
      <c r="BC778" s="15"/>
      <c r="BF778" s="15"/>
      <c r="BG778" s="15"/>
    </row>
    <row r="779" spans="1:59" ht="14.25" customHeight="1" x14ac:dyDescent="0.3">
      <c r="A779" s="15"/>
      <c r="B779" s="15"/>
      <c r="C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S779" s="15"/>
      <c r="AT779" s="15"/>
      <c r="AU779" s="15"/>
      <c r="AV779" s="15"/>
      <c r="AX779" s="15"/>
      <c r="AY779" s="15"/>
      <c r="AZ779" s="15"/>
      <c r="BA779" s="15"/>
      <c r="BC779" s="15"/>
      <c r="BF779" s="15"/>
      <c r="BG779" s="15"/>
    </row>
    <row r="780" spans="1:59" ht="14.25" customHeight="1" x14ac:dyDescent="0.3">
      <c r="A780" s="15"/>
      <c r="B780" s="15"/>
      <c r="C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S780" s="15"/>
      <c r="AT780" s="15"/>
      <c r="AU780" s="15"/>
      <c r="AV780" s="15"/>
      <c r="AX780" s="15"/>
      <c r="AY780" s="15"/>
      <c r="AZ780" s="15"/>
      <c r="BA780" s="15"/>
      <c r="BC780" s="15"/>
      <c r="BF780" s="15"/>
      <c r="BG780" s="15"/>
    </row>
    <row r="781" spans="1:59" ht="14.25" customHeight="1" x14ac:dyDescent="0.3">
      <c r="A781" s="15"/>
      <c r="B781" s="15"/>
      <c r="C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S781" s="15"/>
      <c r="AT781" s="15"/>
      <c r="AU781" s="15"/>
      <c r="AV781" s="15"/>
      <c r="AX781" s="15"/>
      <c r="AY781" s="15"/>
      <c r="AZ781" s="15"/>
      <c r="BA781" s="15"/>
      <c r="BC781" s="15"/>
      <c r="BF781" s="15"/>
      <c r="BG781" s="15"/>
    </row>
    <row r="782" spans="1:59" ht="14.25" customHeight="1" x14ac:dyDescent="0.3">
      <c r="A782" s="15"/>
      <c r="B782" s="15"/>
      <c r="C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S782" s="15"/>
      <c r="AT782" s="15"/>
      <c r="AU782" s="15"/>
      <c r="AV782" s="15"/>
      <c r="AX782" s="15"/>
      <c r="AY782" s="15"/>
      <c r="AZ782" s="15"/>
      <c r="BA782" s="15"/>
      <c r="BC782" s="15"/>
      <c r="BF782" s="15"/>
      <c r="BG782" s="15"/>
    </row>
    <row r="783" spans="1:59" ht="14.25" customHeight="1" x14ac:dyDescent="0.3">
      <c r="A783" s="15"/>
      <c r="B783" s="15"/>
      <c r="C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S783" s="15"/>
      <c r="AT783" s="15"/>
      <c r="AU783" s="15"/>
      <c r="AV783" s="15"/>
      <c r="AX783" s="15"/>
      <c r="AY783" s="15"/>
      <c r="AZ783" s="15"/>
      <c r="BA783" s="15"/>
      <c r="BC783" s="15"/>
      <c r="BF783" s="15"/>
      <c r="BG783" s="15"/>
    </row>
    <row r="784" spans="1:59" ht="14.25" customHeight="1" x14ac:dyDescent="0.3">
      <c r="A784" s="15"/>
      <c r="B784" s="15"/>
      <c r="C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S784" s="15"/>
      <c r="AT784" s="15"/>
      <c r="AU784" s="15"/>
      <c r="AV784" s="15"/>
      <c r="AX784" s="15"/>
      <c r="AY784" s="15"/>
      <c r="AZ784" s="15"/>
      <c r="BA784" s="15"/>
      <c r="BC784" s="15"/>
      <c r="BF784" s="15"/>
      <c r="BG784" s="15"/>
    </row>
    <row r="785" spans="1:59" ht="14.25" customHeight="1" x14ac:dyDescent="0.3">
      <c r="A785" s="15"/>
      <c r="B785" s="15"/>
      <c r="C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S785" s="15"/>
      <c r="AT785" s="15"/>
      <c r="AU785" s="15"/>
      <c r="AV785" s="15"/>
      <c r="AX785" s="15"/>
      <c r="AY785" s="15"/>
      <c r="AZ785" s="15"/>
      <c r="BA785" s="15"/>
      <c r="BC785" s="15"/>
      <c r="BF785" s="15"/>
      <c r="BG785" s="15"/>
    </row>
    <row r="786" spans="1:59" ht="14.25" customHeight="1" x14ac:dyDescent="0.3">
      <c r="A786" s="15"/>
      <c r="B786" s="15"/>
      <c r="C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S786" s="15"/>
      <c r="AT786" s="15"/>
      <c r="AU786" s="15"/>
      <c r="AV786" s="15"/>
      <c r="AX786" s="15"/>
      <c r="AY786" s="15"/>
      <c r="AZ786" s="15"/>
      <c r="BA786" s="15"/>
      <c r="BC786" s="15"/>
      <c r="BF786" s="15"/>
      <c r="BG786" s="15"/>
    </row>
    <row r="787" spans="1:59" ht="14.25" customHeight="1" x14ac:dyDescent="0.3">
      <c r="A787" s="15"/>
      <c r="B787" s="15"/>
      <c r="C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S787" s="15"/>
      <c r="AT787" s="15"/>
      <c r="AU787" s="15"/>
      <c r="AV787" s="15"/>
      <c r="AX787" s="15"/>
      <c r="AY787" s="15"/>
      <c r="AZ787" s="15"/>
      <c r="BA787" s="15"/>
      <c r="BC787" s="15"/>
      <c r="BF787" s="15"/>
      <c r="BG787" s="15"/>
    </row>
    <row r="788" spans="1:59" ht="14.25" customHeight="1" x14ac:dyDescent="0.3">
      <c r="A788" s="15"/>
      <c r="B788" s="15"/>
      <c r="C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S788" s="15"/>
      <c r="AT788" s="15"/>
      <c r="AU788" s="15"/>
      <c r="AV788" s="15"/>
      <c r="AX788" s="15"/>
      <c r="AY788" s="15"/>
      <c r="AZ788" s="15"/>
      <c r="BA788" s="15"/>
      <c r="BC788" s="15"/>
      <c r="BF788" s="15"/>
      <c r="BG788" s="15"/>
    </row>
    <row r="789" spans="1:59" ht="14.25" customHeight="1" x14ac:dyDescent="0.3">
      <c r="A789" s="15"/>
      <c r="B789" s="15"/>
      <c r="C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S789" s="15"/>
      <c r="AT789" s="15"/>
      <c r="AU789" s="15"/>
      <c r="AV789" s="15"/>
      <c r="AX789" s="15"/>
      <c r="AY789" s="15"/>
      <c r="AZ789" s="15"/>
      <c r="BA789" s="15"/>
      <c r="BC789" s="15"/>
      <c r="BF789" s="15"/>
      <c r="BG789" s="15"/>
    </row>
    <row r="790" spans="1:59" ht="14.25" customHeight="1" x14ac:dyDescent="0.3">
      <c r="A790" s="15"/>
      <c r="B790" s="15"/>
      <c r="C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S790" s="15"/>
      <c r="AT790" s="15"/>
      <c r="AU790" s="15"/>
      <c r="AV790" s="15"/>
      <c r="AX790" s="15"/>
      <c r="AY790" s="15"/>
      <c r="AZ790" s="15"/>
      <c r="BA790" s="15"/>
      <c r="BC790" s="15"/>
      <c r="BF790" s="15"/>
      <c r="BG790" s="15"/>
    </row>
    <row r="791" spans="1:59" ht="14.25" customHeight="1" x14ac:dyDescent="0.3">
      <c r="A791" s="15"/>
      <c r="B791" s="15"/>
      <c r="C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S791" s="15"/>
      <c r="AT791" s="15"/>
      <c r="AU791" s="15"/>
      <c r="AV791" s="15"/>
      <c r="AX791" s="15"/>
      <c r="AY791" s="15"/>
      <c r="AZ791" s="15"/>
      <c r="BA791" s="15"/>
      <c r="BC791" s="15"/>
      <c r="BF791" s="15"/>
      <c r="BG791" s="15"/>
    </row>
    <row r="792" spans="1:59" ht="14.25" customHeight="1" x14ac:dyDescent="0.3">
      <c r="A792" s="15"/>
      <c r="B792" s="15"/>
      <c r="C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S792" s="15"/>
      <c r="AT792" s="15"/>
      <c r="AU792" s="15"/>
      <c r="AV792" s="15"/>
      <c r="AX792" s="15"/>
      <c r="AY792" s="15"/>
      <c r="AZ792" s="15"/>
      <c r="BA792" s="15"/>
      <c r="BC792" s="15"/>
      <c r="BF792" s="15"/>
      <c r="BG792" s="15"/>
    </row>
    <row r="793" spans="1:59" ht="14.25" customHeight="1" x14ac:dyDescent="0.3">
      <c r="A793" s="15"/>
      <c r="B793" s="15"/>
      <c r="C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S793" s="15"/>
      <c r="AT793" s="15"/>
      <c r="AU793" s="15"/>
      <c r="AV793" s="15"/>
      <c r="AX793" s="15"/>
      <c r="AY793" s="15"/>
      <c r="AZ793" s="15"/>
      <c r="BA793" s="15"/>
      <c r="BC793" s="15"/>
      <c r="BF793" s="15"/>
      <c r="BG793" s="15"/>
    </row>
    <row r="794" spans="1:59" ht="14.25" customHeight="1" x14ac:dyDescent="0.3">
      <c r="A794" s="15"/>
      <c r="B794" s="15"/>
      <c r="C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S794" s="15"/>
      <c r="AT794" s="15"/>
      <c r="AU794" s="15"/>
      <c r="AV794" s="15"/>
      <c r="AX794" s="15"/>
      <c r="AY794" s="15"/>
      <c r="AZ794" s="15"/>
      <c r="BA794" s="15"/>
      <c r="BC794" s="15"/>
      <c r="BF794" s="15"/>
      <c r="BG794" s="15"/>
    </row>
    <row r="795" spans="1:59" ht="14.25" customHeight="1" x14ac:dyDescent="0.3">
      <c r="A795" s="15"/>
      <c r="B795" s="15"/>
      <c r="C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S795" s="15"/>
      <c r="AT795" s="15"/>
      <c r="AU795" s="15"/>
      <c r="AV795" s="15"/>
      <c r="AX795" s="15"/>
      <c r="AY795" s="15"/>
      <c r="AZ795" s="15"/>
      <c r="BA795" s="15"/>
      <c r="BC795" s="15"/>
      <c r="BF795" s="15"/>
      <c r="BG795" s="15"/>
    </row>
    <row r="796" spans="1:59" ht="14.25" customHeight="1" x14ac:dyDescent="0.3">
      <c r="A796" s="15"/>
      <c r="B796" s="15"/>
      <c r="C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S796" s="15"/>
      <c r="AT796" s="15"/>
      <c r="AU796" s="15"/>
      <c r="AV796" s="15"/>
      <c r="AX796" s="15"/>
      <c r="AY796" s="15"/>
      <c r="AZ796" s="15"/>
      <c r="BA796" s="15"/>
      <c r="BC796" s="15"/>
      <c r="BF796" s="15"/>
      <c r="BG796" s="15"/>
    </row>
    <row r="797" spans="1:59" ht="14.25" customHeight="1" x14ac:dyDescent="0.3">
      <c r="A797" s="15"/>
      <c r="B797" s="15"/>
      <c r="C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S797" s="15"/>
      <c r="AT797" s="15"/>
      <c r="AU797" s="15"/>
      <c r="AV797" s="15"/>
      <c r="AX797" s="15"/>
      <c r="AY797" s="15"/>
      <c r="AZ797" s="15"/>
      <c r="BA797" s="15"/>
      <c r="BC797" s="15"/>
      <c r="BF797" s="15"/>
      <c r="BG797" s="15"/>
    </row>
    <row r="798" spans="1:59" ht="14.25" customHeight="1" x14ac:dyDescent="0.3">
      <c r="A798" s="15"/>
      <c r="B798" s="15"/>
      <c r="C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S798" s="15"/>
      <c r="AT798" s="15"/>
      <c r="AU798" s="15"/>
      <c r="AV798" s="15"/>
      <c r="AX798" s="15"/>
      <c r="AY798" s="15"/>
      <c r="AZ798" s="15"/>
      <c r="BA798" s="15"/>
      <c r="BC798" s="15"/>
      <c r="BF798" s="15"/>
      <c r="BG798" s="15"/>
    </row>
    <row r="799" spans="1:59" ht="14.25" customHeight="1" x14ac:dyDescent="0.3">
      <c r="A799" s="15"/>
      <c r="B799" s="15"/>
      <c r="C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S799" s="15"/>
      <c r="AT799" s="15"/>
      <c r="AU799" s="15"/>
      <c r="AV799" s="15"/>
      <c r="AX799" s="15"/>
      <c r="AY799" s="15"/>
      <c r="AZ799" s="15"/>
      <c r="BA799" s="15"/>
      <c r="BC799" s="15"/>
      <c r="BF799" s="15"/>
      <c r="BG799" s="15"/>
    </row>
    <row r="800" spans="1:59" ht="14.25" customHeight="1" x14ac:dyDescent="0.3">
      <c r="A800" s="15"/>
      <c r="B800" s="15"/>
      <c r="C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S800" s="15"/>
      <c r="AT800" s="15"/>
      <c r="AU800" s="15"/>
      <c r="AV800" s="15"/>
      <c r="AX800" s="15"/>
      <c r="AY800" s="15"/>
      <c r="AZ800" s="15"/>
      <c r="BA800" s="15"/>
      <c r="BC800" s="15"/>
      <c r="BF800" s="15"/>
      <c r="BG800" s="15"/>
    </row>
    <row r="801" spans="1:59" ht="14.25" customHeight="1" x14ac:dyDescent="0.3">
      <c r="A801" s="15"/>
      <c r="B801" s="15"/>
      <c r="C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S801" s="15"/>
      <c r="AT801" s="15"/>
      <c r="AU801" s="15"/>
      <c r="AV801" s="15"/>
      <c r="AX801" s="15"/>
      <c r="AY801" s="15"/>
      <c r="AZ801" s="15"/>
      <c r="BA801" s="15"/>
      <c r="BC801" s="15"/>
      <c r="BF801" s="15"/>
      <c r="BG801" s="15"/>
    </row>
    <row r="802" spans="1:59" ht="14.25" customHeight="1" x14ac:dyDescent="0.3">
      <c r="A802" s="15"/>
      <c r="B802" s="15"/>
      <c r="C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S802" s="15"/>
      <c r="AT802" s="15"/>
      <c r="AU802" s="15"/>
      <c r="AV802" s="15"/>
      <c r="AX802" s="15"/>
      <c r="AY802" s="15"/>
      <c r="AZ802" s="15"/>
      <c r="BA802" s="15"/>
      <c r="BC802" s="15"/>
      <c r="BF802" s="15"/>
      <c r="BG802" s="15"/>
    </row>
    <row r="803" spans="1:59" ht="14.25" customHeight="1" x14ac:dyDescent="0.3">
      <c r="A803" s="15"/>
      <c r="B803" s="15"/>
      <c r="C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S803" s="15"/>
      <c r="AT803" s="15"/>
      <c r="AU803" s="15"/>
      <c r="AV803" s="15"/>
      <c r="AX803" s="15"/>
      <c r="AY803" s="15"/>
      <c r="AZ803" s="15"/>
      <c r="BA803" s="15"/>
      <c r="BC803" s="15"/>
      <c r="BF803" s="15"/>
      <c r="BG803" s="15"/>
    </row>
    <row r="804" spans="1:59" ht="14.25" customHeight="1" x14ac:dyDescent="0.3">
      <c r="A804" s="15"/>
      <c r="B804" s="15"/>
      <c r="C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S804" s="15"/>
      <c r="AT804" s="15"/>
      <c r="AU804" s="15"/>
      <c r="AV804" s="15"/>
      <c r="AX804" s="15"/>
      <c r="AY804" s="15"/>
      <c r="AZ804" s="15"/>
      <c r="BA804" s="15"/>
      <c r="BC804" s="15"/>
      <c r="BF804" s="15"/>
      <c r="BG804" s="15"/>
    </row>
    <row r="805" spans="1:59" ht="14.25" customHeight="1" x14ac:dyDescent="0.3">
      <c r="A805" s="15"/>
      <c r="B805" s="15"/>
      <c r="C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S805" s="15"/>
      <c r="AT805" s="15"/>
      <c r="AU805" s="15"/>
      <c r="AV805" s="15"/>
      <c r="AX805" s="15"/>
      <c r="AY805" s="15"/>
      <c r="AZ805" s="15"/>
      <c r="BA805" s="15"/>
      <c r="BC805" s="15"/>
      <c r="BF805" s="15"/>
      <c r="BG805" s="15"/>
    </row>
    <row r="806" spans="1:59" ht="14.25" customHeight="1" x14ac:dyDescent="0.3">
      <c r="A806" s="15"/>
      <c r="B806" s="15"/>
      <c r="C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S806" s="15"/>
      <c r="AT806" s="15"/>
      <c r="AU806" s="15"/>
      <c r="AV806" s="15"/>
      <c r="AX806" s="15"/>
      <c r="AY806" s="15"/>
      <c r="AZ806" s="15"/>
      <c r="BA806" s="15"/>
      <c r="BC806" s="15"/>
      <c r="BF806" s="15"/>
      <c r="BG806" s="15"/>
    </row>
    <row r="807" spans="1:59" ht="14.25" customHeight="1" x14ac:dyDescent="0.3">
      <c r="A807" s="15"/>
      <c r="B807" s="15"/>
      <c r="C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S807" s="15"/>
      <c r="AT807" s="15"/>
      <c r="AU807" s="15"/>
      <c r="AV807" s="15"/>
      <c r="AX807" s="15"/>
      <c r="AY807" s="15"/>
      <c r="AZ807" s="15"/>
      <c r="BA807" s="15"/>
      <c r="BC807" s="15"/>
      <c r="BF807" s="15"/>
      <c r="BG807" s="15"/>
    </row>
    <row r="808" spans="1:59" ht="14.25" customHeight="1" x14ac:dyDescent="0.3">
      <c r="A808" s="15"/>
      <c r="B808" s="15"/>
      <c r="C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S808" s="15"/>
      <c r="AT808" s="15"/>
      <c r="AU808" s="15"/>
      <c r="AV808" s="15"/>
      <c r="AX808" s="15"/>
      <c r="AY808" s="15"/>
      <c r="AZ808" s="15"/>
      <c r="BA808" s="15"/>
      <c r="BC808" s="15"/>
      <c r="BF808" s="15"/>
      <c r="BG808" s="15"/>
    </row>
    <row r="809" spans="1:59" ht="14.25" customHeight="1" x14ac:dyDescent="0.3">
      <c r="A809" s="15"/>
      <c r="B809" s="15"/>
      <c r="C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S809" s="15"/>
      <c r="AT809" s="15"/>
      <c r="AU809" s="15"/>
      <c r="AV809" s="15"/>
      <c r="AX809" s="15"/>
      <c r="AY809" s="15"/>
      <c r="AZ809" s="15"/>
      <c r="BA809" s="15"/>
      <c r="BC809" s="15"/>
      <c r="BF809" s="15"/>
      <c r="BG809" s="15"/>
    </row>
    <row r="810" spans="1:59" ht="14.25" customHeight="1" x14ac:dyDescent="0.3">
      <c r="A810" s="15"/>
      <c r="B810" s="15"/>
      <c r="C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S810" s="15"/>
      <c r="AT810" s="15"/>
      <c r="AU810" s="15"/>
      <c r="AV810" s="15"/>
      <c r="AX810" s="15"/>
      <c r="AY810" s="15"/>
      <c r="AZ810" s="15"/>
      <c r="BA810" s="15"/>
      <c r="BC810" s="15"/>
      <c r="BF810" s="15"/>
      <c r="BG810" s="15"/>
    </row>
    <row r="811" spans="1:59" ht="14.25" customHeight="1" x14ac:dyDescent="0.3">
      <c r="A811" s="15"/>
      <c r="B811" s="15"/>
      <c r="C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S811" s="15"/>
      <c r="AT811" s="15"/>
      <c r="AU811" s="15"/>
      <c r="AV811" s="15"/>
      <c r="AX811" s="15"/>
      <c r="AY811" s="15"/>
      <c r="AZ811" s="15"/>
      <c r="BA811" s="15"/>
      <c r="BC811" s="15"/>
      <c r="BF811" s="15"/>
      <c r="BG811" s="15"/>
    </row>
    <row r="812" spans="1:59" ht="14.25" customHeight="1" x14ac:dyDescent="0.3">
      <c r="A812" s="15"/>
      <c r="B812" s="15"/>
      <c r="C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S812" s="15"/>
      <c r="AT812" s="15"/>
      <c r="AU812" s="15"/>
      <c r="AV812" s="15"/>
      <c r="AX812" s="15"/>
      <c r="AY812" s="15"/>
      <c r="AZ812" s="15"/>
      <c r="BA812" s="15"/>
      <c r="BC812" s="15"/>
      <c r="BF812" s="15"/>
      <c r="BG812" s="15"/>
    </row>
    <row r="813" spans="1:59" ht="14.25" customHeight="1" x14ac:dyDescent="0.3">
      <c r="A813" s="15"/>
      <c r="B813" s="15"/>
      <c r="C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S813" s="15"/>
      <c r="AT813" s="15"/>
      <c r="AU813" s="15"/>
      <c r="AV813" s="15"/>
      <c r="AX813" s="15"/>
      <c r="AY813" s="15"/>
      <c r="AZ813" s="15"/>
      <c r="BA813" s="15"/>
      <c r="BC813" s="15"/>
      <c r="BF813" s="15"/>
      <c r="BG813" s="15"/>
    </row>
    <row r="814" spans="1:59" ht="14.25" customHeight="1" x14ac:dyDescent="0.3">
      <c r="A814" s="15"/>
      <c r="B814" s="15"/>
      <c r="C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S814" s="15"/>
      <c r="AT814" s="15"/>
      <c r="AU814" s="15"/>
      <c r="AV814" s="15"/>
      <c r="AX814" s="15"/>
      <c r="AY814" s="15"/>
      <c r="AZ814" s="15"/>
      <c r="BA814" s="15"/>
      <c r="BC814" s="15"/>
      <c r="BF814" s="15"/>
      <c r="BG814" s="15"/>
    </row>
    <row r="815" spans="1:59" ht="14.25" customHeight="1" x14ac:dyDescent="0.3">
      <c r="A815" s="15"/>
      <c r="B815" s="15"/>
      <c r="C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S815" s="15"/>
      <c r="AT815" s="15"/>
      <c r="AU815" s="15"/>
      <c r="AV815" s="15"/>
      <c r="AX815" s="15"/>
      <c r="AY815" s="15"/>
      <c r="AZ815" s="15"/>
      <c r="BA815" s="15"/>
      <c r="BC815" s="15"/>
      <c r="BF815" s="15"/>
      <c r="BG815" s="15"/>
    </row>
    <row r="816" spans="1:59" ht="14.25" customHeight="1" x14ac:dyDescent="0.3">
      <c r="A816" s="15"/>
      <c r="B816" s="15"/>
      <c r="C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S816" s="15"/>
      <c r="AT816" s="15"/>
      <c r="AU816" s="15"/>
      <c r="AV816" s="15"/>
      <c r="AX816" s="15"/>
      <c r="AY816" s="15"/>
      <c r="AZ816" s="15"/>
      <c r="BA816" s="15"/>
      <c r="BC816" s="15"/>
      <c r="BF816" s="15"/>
      <c r="BG816" s="15"/>
    </row>
    <row r="817" spans="1:59" ht="14.25" customHeight="1" x14ac:dyDescent="0.3">
      <c r="A817" s="15"/>
      <c r="B817" s="15"/>
      <c r="C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S817" s="15"/>
      <c r="AT817" s="15"/>
      <c r="AU817" s="15"/>
      <c r="AV817" s="15"/>
      <c r="AX817" s="15"/>
      <c r="AY817" s="15"/>
      <c r="AZ817" s="15"/>
      <c r="BA817" s="15"/>
      <c r="BC817" s="15"/>
      <c r="BF817" s="15"/>
      <c r="BG817" s="15"/>
    </row>
    <row r="818" spans="1:59" ht="14.25" customHeight="1" x14ac:dyDescent="0.3">
      <c r="A818" s="15"/>
      <c r="B818" s="15"/>
      <c r="C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S818" s="15"/>
      <c r="AT818" s="15"/>
      <c r="AU818" s="15"/>
      <c r="AV818" s="15"/>
      <c r="AX818" s="15"/>
      <c r="AY818" s="15"/>
      <c r="AZ818" s="15"/>
      <c r="BA818" s="15"/>
      <c r="BC818" s="15"/>
      <c r="BF818" s="15"/>
      <c r="BG818" s="15"/>
    </row>
    <row r="819" spans="1:59" ht="14.25" customHeight="1" x14ac:dyDescent="0.3">
      <c r="A819" s="15"/>
      <c r="B819" s="15"/>
      <c r="C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S819" s="15"/>
      <c r="AT819" s="15"/>
      <c r="AU819" s="15"/>
      <c r="AV819" s="15"/>
      <c r="AX819" s="15"/>
      <c r="AY819" s="15"/>
      <c r="AZ819" s="15"/>
      <c r="BA819" s="15"/>
      <c r="BC819" s="15"/>
      <c r="BF819" s="15"/>
      <c r="BG819" s="15"/>
    </row>
    <row r="820" spans="1:59" ht="14.25" customHeight="1" x14ac:dyDescent="0.3">
      <c r="A820" s="15"/>
      <c r="B820" s="15"/>
      <c r="C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S820" s="15"/>
      <c r="AT820" s="15"/>
      <c r="AU820" s="15"/>
      <c r="AV820" s="15"/>
      <c r="AX820" s="15"/>
      <c r="AY820" s="15"/>
      <c r="AZ820" s="15"/>
      <c r="BA820" s="15"/>
      <c r="BC820" s="15"/>
      <c r="BF820" s="15"/>
      <c r="BG820" s="15"/>
    </row>
    <row r="821" spans="1:59" ht="14.25" customHeight="1" x14ac:dyDescent="0.3">
      <c r="A821" s="15"/>
      <c r="B821" s="15"/>
      <c r="C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S821" s="15"/>
      <c r="AT821" s="15"/>
      <c r="AU821" s="15"/>
      <c r="AV821" s="15"/>
      <c r="AX821" s="15"/>
      <c r="AY821" s="15"/>
      <c r="AZ821" s="15"/>
      <c r="BA821" s="15"/>
      <c r="BC821" s="15"/>
      <c r="BF821" s="15"/>
      <c r="BG821" s="15"/>
    </row>
    <row r="822" spans="1:59" ht="14.25" customHeight="1" x14ac:dyDescent="0.3">
      <c r="A822" s="15"/>
      <c r="B822" s="15"/>
      <c r="C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S822" s="15"/>
      <c r="AT822" s="15"/>
      <c r="AU822" s="15"/>
      <c r="AV822" s="15"/>
      <c r="AX822" s="15"/>
      <c r="AY822" s="15"/>
      <c r="AZ822" s="15"/>
      <c r="BA822" s="15"/>
      <c r="BC822" s="15"/>
      <c r="BF822" s="15"/>
      <c r="BG822" s="15"/>
    </row>
    <row r="823" spans="1:59" ht="14.25" customHeight="1" x14ac:dyDescent="0.3">
      <c r="A823" s="15"/>
      <c r="B823" s="15"/>
      <c r="C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S823" s="15"/>
      <c r="AT823" s="15"/>
      <c r="AU823" s="15"/>
      <c r="AV823" s="15"/>
      <c r="AX823" s="15"/>
      <c r="AY823" s="15"/>
      <c r="AZ823" s="15"/>
      <c r="BA823" s="15"/>
      <c r="BC823" s="15"/>
      <c r="BF823" s="15"/>
      <c r="BG823" s="15"/>
    </row>
    <row r="824" spans="1:59" ht="14.25" customHeight="1" x14ac:dyDescent="0.3">
      <c r="A824" s="15"/>
      <c r="B824" s="15"/>
      <c r="C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S824" s="15"/>
      <c r="AT824" s="15"/>
      <c r="AU824" s="15"/>
      <c r="AV824" s="15"/>
      <c r="AX824" s="15"/>
      <c r="AY824" s="15"/>
      <c r="AZ824" s="15"/>
      <c r="BA824" s="15"/>
      <c r="BC824" s="15"/>
      <c r="BF824" s="15"/>
      <c r="BG824" s="15"/>
    </row>
    <row r="825" spans="1:59" ht="14.25" customHeight="1" x14ac:dyDescent="0.3">
      <c r="A825" s="15"/>
      <c r="B825" s="15"/>
      <c r="C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S825" s="15"/>
      <c r="AT825" s="15"/>
      <c r="AU825" s="15"/>
      <c r="AV825" s="15"/>
      <c r="AX825" s="15"/>
      <c r="AY825" s="15"/>
      <c r="AZ825" s="15"/>
      <c r="BA825" s="15"/>
      <c r="BC825" s="15"/>
      <c r="BF825" s="15"/>
      <c r="BG825" s="15"/>
    </row>
    <row r="826" spans="1:59" ht="14.25" customHeight="1" x14ac:dyDescent="0.3">
      <c r="A826" s="15"/>
      <c r="B826" s="15"/>
      <c r="C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S826" s="15"/>
      <c r="AT826" s="15"/>
      <c r="AU826" s="15"/>
      <c r="AV826" s="15"/>
      <c r="AX826" s="15"/>
      <c r="AY826" s="15"/>
      <c r="AZ826" s="15"/>
      <c r="BA826" s="15"/>
      <c r="BC826" s="15"/>
      <c r="BF826" s="15"/>
      <c r="BG826" s="15"/>
    </row>
    <row r="827" spans="1:59" ht="14.25" customHeight="1" x14ac:dyDescent="0.3">
      <c r="A827" s="15"/>
      <c r="B827" s="15"/>
      <c r="C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S827" s="15"/>
      <c r="AT827" s="15"/>
      <c r="AU827" s="15"/>
      <c r="AV827" s="15"/>
      <c r="AX827" s="15"/>
      <c r="AY827" s="15"/>
      <c r="AZ827" s="15"/>
      <c r="BA827" s="15"/>
      <c r="BC827" s="15"/>
      <c r="BF827" s="15"/>
      <c r="BG827" s="15"/>
    </row>
    <row r="828" spans="1:59" ht="14.25" customHeight="1" x14ac:dyDescent="0.3">
      <c r="A828" s="15"/>
      <c r="B828" s="15"/>
      <c r="C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S828" s="15"/>
      <c r="AT828" s="15"/>
      <c r="AU828" s="15"/>
      <c r="AV828" s="15"/>
      <c r="AX828" s="15"/>
      <c r="AY828" s="15"/>
      <c r="AZ828" s="15"/>
      <c r="BA828" s="15"/>
      <c r="BC828" s="15"/>
      <c r="BF828" s="15"/>
      <c r="BG828" s="15"/>
    </row>
    <row r="829" spans="1:59" ht="14.25" customHeight="1" x14ac:dyDescent="0.3">
      <c r="A829" s="15"/>
      <c r="B829" s="15"/>
      <c r="C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S829" s="15"/>
      <c r="AT829" s="15"/>
      <c r="AU829" s="15"/>
      <c r="AV829" s="15"/>
      <c r="AX829" s="15"/>
      <c r="AY829" s="15"/>
      <c r="AZ829" s="15"/>
      <c r="BA829" s="15"/>
      <c r="BC829" s="15"/>
      <c r="BF829" s="15"/>
      <c r="BG829" s="15"/>
    </row>
    <row r="830" spans="1:59" ht="14.25" customHeight="1" x14ac:dyDescent="0.3">
      <c r="A830" s="15"/>
      <c r="B830" s="15"/>
      <c r="C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S830" s="15"/>
      <c r="AT830" s="15"/>
      <c r="AU830" s="15"/>
      <c r="AV830" s="15"/>
      <c r="AX830" s="15"/>
      <c r="AY830" s="15"/>
      <c r="AZ830" s="15"/>
      <c r="BA830" s="15"/>
      <c r="BC830" s="15"/>
      <c r="BF830" s="15"/>
      <c r="BG830" s="15"/>
    </row>
    <row r="831" spans="1:59" ht="14.25" customHeight="1" x14ac:dyDescent="0.3">
      <c r="A831" s="15"/>
      <c r="B831" s="15"/>
      <c r="C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S831" s="15"/>
      <c r="AT831" s="15"/>
      <c r="AU831" s="15"/>
      <c r="AV831" s="15"/>
      <c r="AX831" s="15"/>
      <c r="AY831" s="15"/>
      <c r="AZ831" s="15"/>
      <c r="BA831" s="15"/>
      <c r="BC831" s="15"/>
      <c r="BF831" s="15"/>
      <c r="BG831" s="15"/>
    </row>
    <row r="832" spans="1:59" ht="14.25" customHeight="1" x14ac:dyDescent="0.3">
      <c r="A832" s="15"/>
      <c r="B832" s="15"/>
      <c r="C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S832" s="15"/>
      <c r="AT832" s="15"/>
      <c r="AU832" s="15"/>
      <c r="AV832" s="15"/>
      <c r="AX832" s="15"/>
      <c r="AY832" s="15"/>
      <c r="AZ832" s="15"/>
      <c r="BA832" s="15"/>
      <c r="BC832" s="15"/>
      <c r="BF832" s="15"/>
      <c r="BG832" s="15"/>
    </row>
    <row r="833" spans="1:59" ht="14.25" customHeight="1" x14ac:dyDescent="0.3">
      <c r="A833" s="15"/>
      <c r="B833" s="15"/>
      <c r="C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S833" s="15"/>
      <c r="AT833" s="15"/>
      <c r="AU833" s="15"/>
      <c r="AV833" s="15"/>
      <c r="AX833" s="15"/>
      <c r="AY833" s="15"/>
      <c r="AZ833" s="15"/>
      <c r="BA833" s="15"/>
      <c r="BC833" s="15"/>
      <c r="BF833" s="15"/>
      <c r="BG833" s="15"/>
    </row>
    <row r="834" spans="1:59" ht="14.25" customHeight="1" x14ac:dyDescent="0.3">
      <c r="A834" s="15"/>
      <c r="B834" s="15"/>
      <c r="C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S834" s="15"/>
      <c r="AT834" s="15"/>
      <c r="AU834" s="15"/>
      <c r="AV834" s="15"/>
      <c r="AX834" s="15"/>
      <c r="AY834" s="15"/>
      <c r="AZ834" s="15"/>
      <c r="BA834" s="15"/>
      <c r="BC834" s="15"/>
      <c r="BF834" s="15"/>
      <c r="BG834" s="15"/>
    </row>
    <row r="835" spans="1:59" ht="14.25" customHeight="1" x14ac:dyDescent="0.3">
      <c r="A835" s="15"/>
      <c r="B835" s="15"/>
      <c r="C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S835" s="15"/>
      <c r="AT835" s="15"/>
      <c r="AU835" s="15"/>
      <c r="AV835" s="15"/>
      <c r="AX835" s="15"/>
      <c r="AY835" s="15"/>
      <c r="AZ835" s="15"/>
      <c r="BA835" s="15"/>
      <c r="BC835" s="15"/>
      <c r="BF835" s="15"/>
      <c r="BG835" s="15"/>
    </row>
    <row r="836" spans="1:59" ht="14.25" customHeight="1" x14ac:dyDescent="0.3">
      <c r="A836" s="15"/>
      <c r="B836" s="15"/>
      <c r="C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S836" s="15"/>
      <c r="AT836" s="15"/>
      <c r="AU836" s="15"/>
      <c r="AV836" s="15"/>
      <c r="AX836" s="15"/>
      <c r="AY836" s="15"/>
      <c r="AZ836" s="15"/>
      <c r="BA836" s="15"/>
      <c r="BC836" s="15"/>
      <c r="BF836" s="15"/>
      <c r="BG836" s="15"/>
    </row>
    <row r="837" spans="1:59" ht="14.25" customHeight="1" x14ac:dyDescent="0.3">
      <c r="A837" s="15"/>
      <c r="B837" s="15"/>
      <c r="C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S837" s="15"/>
      <c r="AT837" s="15"/>
      <c r="AU837" s="15"/>
      <c r="AV837" s="15"/>
      <c r="AX837" s="15"/>
      <c r="AY837" s="15"/>
      <c r="AZ837" s="15"/>
      <c r="BA837" s="15"/>
      <c r="BC837" s="15"/>
      <c r="BF837" s="15"/>
      <c r="BG837" s="15"/>
    </row>
    <row r="838" spans="1:59" ht="14.25" customHeight="1" x14ac:dyDescent="0.3">
      <c r="A838" s="15"/>
      <c r="B838" s="15"/>
      <c r="C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S838" s="15"/>
      <c r="AT838" s="15"/>
      <c r="AU838" s="15"/>
      <c r="AV838" s="15"/>
      <c r="AX838" s="15"/>
      <c r="AY838" s="15"/>
      <c r="AZ838" s="15"/>
      <c r="BA838" s="15"/>
      <c r="BC838" s="15"/>
      <c r="BF838" s="15"/>
      <c r="BG838" s="15"/>
    </row>
    <row r="839" spans="1:59" ht="14.25" customHeight="1" x14ac:dyDescent="0.3">
      <c r="A839" s="15"/>
      <c r="B839" s="15"/>
      <c r="C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S839" s="15"/>
      <c r="AT839" s="15"/>
      <c r="AU839" s="15"/>
      <c r="AV839" s="15"/>
      <c r="AX839" s="15"/>
      <c r="AY839" s="15"/>
      <c r="AZ839" s="15"/>
      <c r="BA839" s="15"/>
      <c r="BC839" s="15"/>
      <c r="BF839" s="15"/>
      <c r="BG839" s="15"/>
    </row>
    <row r="840" spans="1:59" ht="14.25" customHeight="1" x14ac:dyDescent="0.3">
      <c r="A840" s="15"/>
      <c r="B840" s="15"/>
      <c r="C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S840" s="15"/>
      <c r="AT840" s="15"/>
      <c r="AU840" s="15"/>
      <c r="AV840" s="15"/>
      <c r="AX840" s="15"/>
      <c r="AY840" s="15"/>
      <c r="AZ840" s="15"/>
      <c r="BA840" s="15"/>
      <c r="BC840" s="15"/>
      <c r="BF840" s="15"/>
      <c r="BG840" s="15"/>
    </row>
    <row r="841" spans="1:59" ht="14.25" customHeight="1" x14ac:dyDescent="0.3">
      <c r="A841" s="15"/>
      <c r="B841" s="15"/>
      <c r="C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S841" s="15"/>
      <c r="AT841" s="15"/>
      <c r="AU841" s="15"/>
      <c r="AV841" s="15"/>
      <c r="AX841" s="15"/>
      <c r="AY841" s="15"/>
      <c r="AZ841" s="15"/>
      <c r="BA841" s="15"/>
      <c r="BC841" s="15"/>
      <c r="BF841" s="15"/>
      <c r="BG841" s="15"/>
    </row>
    <row r="842" spans="1:59" ht="14.25" customHeight="1" x14ac:dyDescent="0.3">
      <c r="A842" s="15"/>
      <c r="B842" s="15"/>
      <c r="C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S842" s="15"/>
      <c r="AT842" s="15"/>
      <c r="AU842" s="15"/>
      <c r="AV842" s="15"/>
      <c r="AX842" s="15"/>
      <c r="AY842" s="15"/>
      <c r="AZ842" s="15"/>
      <c r="BA842" s="15"/>
      <c r="BC842" s="15"/>
      <c r="BF842" s="15"/>
      <c r="BG842" s="15"/>
    </row>
    <row r="843" spans="1:59" ht="14.25" customHeight="1" x14ac:dyDescent="0.3">
      <c r="A843" s="15"/>
      <c r="B843" s="15"/>
      <c r="C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S843" s="15"/>
      <c r="AT843" s="15"/>
      <c r="AU843" s="15"/>
      <c r="AV843" s="15"/>
      <c r="AX843" s="15"/>
      <c r="AY843" s="15"/>
      <c r="AZ843" s="15"/>
      <c r="BA843" s="15"/>
      <c r="BC843" s="15"/>
      <c r="BF843" s="15"/>
      <c r="BG843" s="15"/>
    </row>
    <row r="844" spans="1:59" ht="14.25" customHeight="1" x14ac:dyDescent="0.3">
      <c r="A844" s="15"/>
      <c r="B844" s="15"/>
      <c r="C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S844" s="15"/>
      <c r="AT844" s="15"/>
      <c r="AU844" s="15"/>
      <c r="AV844" s="15"/>
      <c r="AX844" s="15"/>
      <c r="AY844" s="15"/>
      <c r="AZ844" s="15"/>
      <c r="BA844" s="15"/>
      <c r="BC844" s="15"/>
      <c r="BF844" s="15"/>
      <c r="BG844" s="15"/>
    </row>
    <row r="845" spans="1:59" ht="14.25" customHeight="1" x14ac:dyDescent="0.3">
      <c r="A845" s="15"/>
      <c r="B845" s="15"/>
      <c r="C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S845" s="15"/>
      <c r="AT845" s="15"/>
      <c r="AU845" s="15"/>
      <c r="AV845" s="15"/>
      <c r="AX845" s="15"/>
      <c r="AY845" s="15"/>
      <c r="AZ845" s="15"/>
      <c r="BA845" s="15"/>
      <c r="BC845" s="15"/>
      <c r="BF845" s="15"/>
      <c r="BG845" s="15"/>
    </row>
    <row r="846" spans="1:59" ht="14.25" customHeight="1" x14ac:dyDescent="0.3">
      <c r="A846" s="15"/>
      <c r="B846" s="15"/>
      <c r="C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S846" s="15"/>
      <c r="AT846" s="15"/>
      <c r="AU846" s="15"/>
      <c r="AV846" s="15"/>
      <c r="AX846" s="15"/>
      <c r="AY846" s="15"/>
      <c r="AZ846" s="15"/>
      <c r="BA846" s="15"/>
      <c r="BC846" s="15"/>
      <c r="BF846" s="15"/>
      <c r="BG846" s="15"/>
    </row>
    <row r="847" spans="1:59" ht="14.25" customHeight="1" x14ac:dyDescent="0.3">
      <c r="A847" s="15"/>
      <c r="B847" s="15"/>
      <c r="C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S847" s="15"/>
      <c r="AT847" s="15"/>
      <c r="AU847" s="15"/>
      <c r="AV847" s="15"/>
      <c r="AX847" s="15"/>
      <c r="AY847" s="15"/>
      <c r="AZ847" s="15"/>
      <c r="BA847" s="15"/>
      <c r="BC847" s="15"/>
      <c r="BF847" s="15"/>
      <c r="BG847" s="15"/>
    </row>
    <row r="848" spans="1:59" ht="14.25" customHeight="1" x14ac:dyDescent="0.3">
      <c r="A848" s="15"/>
      <c r="B848" s="15"/>
      <c r="C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S848" s="15"/>
      <c r="AT848" s="15"/>
      <c r="AU848" s="15"/>
      <c r="AV848" s="15"/>
      <c r="AX848" s="15"/>
      <c r="AY848" s="15"/>
      <c r="AZ848" s="15"/>
      <c r="BA848" s="15"/>
      <c r="BC848" s="15"/>
      <c r="BF848" s="15"/>
      <c r="BG848" s="15"/>
    </row>
    <row r="849" spans="1:59" ht="14.25" customHeight="1" x14ac:dyDescent="0.3">
      <c r="A849" s="15"/>
      <c r="B849" s="15"/>
      <c r="C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S849" s="15"/>
      <c r="AT849" s="15"/>
      <c r="AU849" s="15"/>
      <c r="AV849" s="15"/>
      <c r="AX849" s="15"/>
      <c r="AY849" s="15"/>
      <c r="AZ849" s="15"/>
      <c r="BA849" s="15"/>
      <c r="BC849" s="15"/>
      <c r="BF849" s="15"/>
      <c r="BG849" s="15"/>
    </row>
    <row r="850" spans="1:59" ht="14.25" customHeight="1" x14ac:dyDescent="0.3">
      <c r="A850" s="15"/>
      <c r="B850" s="15"/>
      <c r="C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S850" s="15"/>
      <c r="AT850" s="15"/>
      <c r="AU850" s="15"/>
      <c r="AV850" s="15"/>
      <c r="AX850" s="15"/>
      <c r="AY850" s="15"/>
      <c r="AZ850" s="15"/>
      <c r="BA850" s="15"/>
      <c r="BC850" s="15"/>
      <c r="BF850" s="15"/>
      <c r="BG850" s="15"/>
    </row>
    <row r="851" spans="1:59" ht="14.25" customHeight="1" x14ac:dyDescent="0.3">
      <c r="A851" s="15"/>
      <c r="B851" s="15"/>
      <c r="C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S851" s="15"/>
      <c r="AT851" s="15"/>
      <c r="AU851" s="15"/>
      <c r="AV851" s="15"/>
      <c r="AX851" s="15"/>
      <c r="AY851" s="15"/>
      <c r="AZ851" s="15"/>
      <c r="BA851" s="15"/>
      <c r="BC851" s="15"/>
      <c r="BF851" s="15"/>
      <c r="BG851" s="15"/>
    </row>
    <row r="852" spans="1:59" ht="14.25" customHeight="1" x14ac:dyDescent="0.3">
      <c r="A852" s="15"/>
      <c r="B852" s="15"/>
      <c r="C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S852" s="15"/>
      <c r="AT852" s="15"/>
      <c r="AU852" s="15"/>
      <c r="AV852" s="15"/>
      <c r="AX852" s="15"/>
      <c r="AY852" s="15"/>
      <c r="AZ852" s="15"/>
      <c r="BA852" s="15"/>
      <c r="BC852" s="15"/>
      <c r="BF852" s="15"/>
      <c r="BG852" s="15"/>
    </row>
    <row r="853" spans="1:59" ht="14.25" customHeight="1" x14ac:dyDescent="0.3">
      <c r="A853" s="15"/>
      <c r="B853" s="15"/>
      <c r="C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S853" s="15"/>
      <c r="AT853" s="15"/>
      <c r="AU853" s="15"/>
      <c r="AV853" s="15"/>
      <c r="AX853" s="15"/>
      <c r="AY853" s="15"/>
      <c r="AZ853" s="15"/>
      <c r="BA853" s="15"/>
      <c r="BC853" s="15"/>
      <c r="BF853" s="15"/>
      <c r="BG853" s="15"/>
    </row>
    <row r="854" spans="1:59" ht="14.25" customHeight="1" x14ac:dyDescent="0.3">
      <c r="A854" s="15"/>
      <c r="B854" s="15"/>
      <c r="C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S854" s="15"/>
      <c r="AT854" s="15"/>
      <c r="AU854" s="15"/>
      <c r="AV854" s="15"/>
      <c r="AX854" s="15"/>
      <c r="AY854" s="15"/>
      <c r="AZ854" s="15"/>
      <c r="BA854" s="15"/>
      <c r="BC854" s="15"/>
      <c r="BF854" s="15"/>
      <c r="BG854" s="15"/>
    </row>
    <row r="855" spans="1:59" ht="14.25" customHeight="1" x14ac:dyDescent="0.3">
      <c r="A855" s="15"/>
      <c r="B855" s="15"/>
      <c r="C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S855" s="15"/>
      <c r="AT855" s="15"/>
      <c r="AU855" s="15"/>
      <c r="AV855" s="15"/>
      <c r="AX855" s="15"/>
      <c r="AY855" s="15"/>
      <c r="AZ855" s="15"/>
      <c r="BA855" s="15"/>
      <c r="BC855" s="15"/>
      <c r="BF855" s="15"/>
      <c r="BG855" s="15"/>
    </row>
    <row r="856" spans="1:59" ht="14.25" customHeight="1" x14ac:dyDescent="0.3">
      <c r="A856" s="15"/>
      <c r="B856" s="15"/>
      <c r="C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S856" s="15"/>
      <c r="AT856" s="15"/>
      <c r="AU856" s="15"/>
      <c r="AV856" s="15"/>
      <c r="AX856" s="15"/>
      <c r="AY856" s="15"/>
      <c r="AZ856" s="15"/>
      <c r="BA856" s="15"/>
      <c r="BC856" s="15"/>
      <c r="BF856" s="15"/>
      <c r="BG856" s="15"/>
    </row>
    <row r="857" spans="1:59" ht="14.25" customHeight="1" x14ac:dyDescent="0.3">
      <c r="A857" s="15"/>
      <c r="B857" s="15"/>
      <c r="C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S857" s="15"/>
      <c r="AT857" s="15"/>
      <c r="AU857" s="15"/>
      <c r="AV857" s="15"/>
      <c r="AX857" s="15"/>
      <c r="AY857" s="15"/>
      <c r="AZ857" s="15"/>
      <c r="BA857" s="15"/>
      <c r="BC857" s="15"/>
      <c r="BF857" s="15"/>
      <c r="BG857" s="15"/>
    </row>
    <row r="858" spans="1:59" ht="14.25" customHeight="1" x14ac:dyDescent="0.3">
      <c r="A858" s="15"/>
      <c r="B858" s="15"/>
      <c r="C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S858" s="15"/>
      <c r="AT858" s="15"/>
      <c r="AU858" s="15"/>
      <c r="AV858" s="15"/>
      <c r="AX858" s="15"/>
      <c r="AY858" s="15"/>
      <c r="AZ858" s="15"/>
      <c r="BA858" s="15"/>
      <c r="BC858" s="15"/>
      <c r="BF858" s="15"/>
      <c r="BG858" s="15"/>
    </row>
    <row r="859" spans="1:59" ht="14.25" customHeight="1" x14ac:dyDescent="0.3">
      <c r="A859" s="15"/>
      <c r="B859" s="15"/>
      <c r="C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S859" s="15"/>
      <c r="AT859" s="15"/>
      <c r="AU859" s="15"/>
      <c r="AV859" s="15"/>
      <c r="AX859" s="15"/>
      <c r="AY859" s="15"/>
      <c r="AZ859" s="15"/>
      <c r="BA859" s="15"/>
      <c r="BC859" s="15"/>
      <c r="BF859" s="15"/>
      <c r="BG859" s="15"/>
    </row>
    <row r="860" spans="1:59" ht="14.25" customHeight="1" x14ac:dyDescent="0.3">
      <c r="A860" s="15"/>
      <c r="B860" s="15"/>
      <c r="C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S860" s="15"/>
      <c r="AT860" s="15"/>
      <c r="AU860" s="15"/>
      <c r="AV860" s="15"/>
      <c r="AX860" s="15"/>
      <c r="AY860" s="15"/>
      <c r="AZ860" s="15"/>
      <c r="BA860" s="15"/>
      <c r="BC860" s="15"/>
      <c r="BF860" s="15"/>
      <c r="BG860" s="15"/>
    </row>
    <row r="861" spans="1:59" ht="14.25" customHeight="1" x14ac:dyDescent="0.3">
      <c r="A861" s="15"/>
      <c r="B861" s="15"/>
      <c r="C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S861" s="15"/>
      <c r="AT861" s="15"/>
      <c r="AU861" s="15"/>
      <c r="AV861" s="15"/>
      <c r="AX861" s="15"/>
      <c r="AY861" s="15"/>
      <c r="AZ861" s="15"/>
      <c r="BA861" s="15"/>
      <c r="BC861" s="15"/>
      <c r="BF861" s="15"/>
      <c r="BG861" s="15"/>
    </row>
    <row r="862" spans="1:59" ht="14.25" customHeight="1" x14ac:dyDescent="0.3">
      <c r="A862" s="15"/>
      <c r="B862" s="15"/>
      <c r="C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S862" s="15"/>
      <c r="AT862" s="15"/>
      <c r="AU862" s="15"/>
      <c r="AV862" s="15"/>
      <c r="AX862" s="15"/>
      <c r="AY862" s="15"/>
      <c r="AZ862" s="15"/>
      <c r="BA862" s="15"/>
      <c r="BC862" s="15"/>
      <c r="BF862" s="15"/>
      <c r="BG862" s="15"/>
    </row>
    <row r="863" spans="1:59" ht="14.25" customHeight="1" x14ac:dyDescent="0.3">
      <c r="A863" s="15"/>
      <c r="B863" s="15"/>
      <c r="C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S863" s="15"/>
      <c r="AT863" s="15"/>
      <c r="AU863" s="15"/>
      <c r="AV863" s="15"/>
      <c r="AX863" s="15"/>
      <c r="AY863" s="15"/>
      <c r="AZ863" s="15"/>
      <c r="BA863" s="15"/>
      <c r="BC863" s="15"/>
      <c r="BF863" s="15"/>
      <c r="BG863" s="15"/>
    </row>
    <row r="864" spans="1:59" ht="14.25" customHeight="1" x14ac:dyDescent="0.3">
      <c r="A864" s="15"/>
      <c r="B864" s="15"/>
      <c r="C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S864" s="15"/>
      <c r="AT864" s="15"/>
      <c r="AU864" s="15"/>
      <c r="AV864" s="15"/>
      <c r="AX864" s="15"/>
      <c r="AY864" s="15"/>
      <c r="AZ864" s="15"/>
      <c r="BA864" s="15"/>
      <c r="BC864" s="15"/>
      <c r="BF864" s="15"/>
      <c r="BG864" s="15"/>
    </row>
    <row r="865" spans="1:59" ht="14.25" customHeight="1" x14ac:dyDescent="0.3">
      <c r="A865" s="15"/>
      <c r="B865" s="15"/>
      <c r="C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S865" s="15"/>
      <c r="AT865" s="15"/>
      <c r="AU865" s="15"/>
      <c r="AV865" s="15"/>
      <c r="AX865" s="15"/>
      <c r="AY865" s="15"/>
      <c r="AZ865" s="15"/>
      <c r="BA865" s="15"/>
      <c r="BC865" s="15"/>
      <c r="BF865" s="15"/>
      <c r="BG865" s="15"/>
    </row>
    <row r="866" spans="1:59" ht="14.25" customHeight="1" x14ac:dyDescent="0.3">
      <c r="A866" s="15"/>
      <c r="B866" s="15"/>
      <c r="C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S866" s="15"/>
      <c r="AT866" s="15"/>
      <c r="AU866" s="15"/>
      <c r="AV866" s="15"/>
      <c r="AX866" s="15"/>
      <c r="AY866" s="15"/>
      <c r="AZ866" s="15"/>
      <c r="BA866" s="15"/>
      <c r="BC866" s="15"/>
      <c r="BF866" s="15"/>
      <c r="BG866" s="15"/>
    </row>
    <row r="867" spans="1:59" ht="14.25" customHeight="1" x14ac:dyDescent="0.3">
      <c r="A867" s="15"/>
      <c r="B867" s="15"/>
      <c r="C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S867" s="15"/>
      <c r="AT867" s="15"/>
      <c r="AU867" s="15"/>
      <c r="AV867" s="15"/>
      <c r="AX867" s="15"/>
      <c r="AY867" s="15"/>
      <c r="AZ867" s="15"/>
      <c r="BA867" s="15"/>
      <c r="BC867" s="15"/>
      <c r="BF867" s="15"/>
      <c r="BG867" s="15"/>
    </row>
    <row r="868" spans="1:59" ht="14.25" customHeight="1" x14ac:dyDescent="0.3">
      <c r="A868" s="15"/>
      <c r="B868" s="15"/>
      <c r="C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S868" s="15"/>
      <c r="AT868" s="15"/>
      <c r="AU868" s="15"/>
      <c r="AV868" s="15"/>
      <c r="AX868" s="15"/>
      <c r="AY868" s="15"/>
      <c r="AZ868" s="15"/>
      <c r="BA868" s="15"/>
      <c r="BC868" s="15"/>
      <c r="BF868" s="15"/>
      <c r="BG868" s="15"/>
    </row>
    <row r="869" spans="1:59" ht="14.25" customHeight="1" x14ac:dyDescent="0.3">
      <c r="A869" s="15"/>
      <c r="B869" s="15"/>
      <c r="C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S869" s="15"/>
      <c r="AT869" s="15"/>
      <c r="AU869" s="15"/>
      <c r="AV869" s="15"/>
      <c r="AX869" s="15"/>
      <c r="AY869" s="15"/>
      <c r="AZ869" s="15"/>
      <c r="BA869" s="15"/>
      <c r="BC869" s="15"/>
      <c r="BF869" s="15"/>
      <c r="BG869" s="15"/>
    </row>
    <row r="870" spans="1:59" ht="14.25" customHeight="1" x14ac:dyDescent="0.3">
      <c r="A870" s="15"/>
      <c r="B870" s="15"/>
      <c r="C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S870" s="15"/>
      <c r="AT870" s="15"/>
      <c r="AU870" s="15"/>
      <c r="AV870" s="15"/>
      <c r="AX870" s="15"/>
      <c r="AY870" s="15"/>
      <c r="AZ870" s="15"/>
      <c r="BA870" s="15"/>
      <c r="BC870" s="15"/>
      <c r="BF870" s="15"/>
      <c r="BG870" s="15"/>
    </row>
    <row r="871" spans="1:59" ht="14.25" customHeight="1" x14ac:dyDescent="0.3">
      <c r="A871" s="15"/>
      <c r="B871" s="15"/>
      <c r="C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S871" s="15"/>
      <c r="AT871" s="15"/>
      <c r="AU871" s="15"/>
      <c r="AV871" s="15"/>
      <c r="AX871" s="15"/>
      <c r="AY871" s="15"/>
      <c r="AZ871" s="15"/>
      <c r="BA871" s="15"/>
      <c r="BC871" s="15"/>
      <c r="BF871" s="15"/>
      <c r="BG871" s="15"/>
    </row>
    <row r="872" spans="1:59" ht="14.25" customHeight="1" x14ac:dyDescent="0.3">
      <c r="A872" s="15"/>
      <c r="B872" s="15"/>
      <c r="C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S872" s="15"/>
      <c r="AT872" s="15"/>
      <c r="AU872" s="15"/>
      <c r="AV872" s="15"/>
      <c r="AX872" s="15"/>
      <c r="AY872" s="15"/>
      <c r="AZ872" s="15"/>
      <c r="BA872" s="15"/>
      <c r="BC872" s="15"/>
      <c r="BF872" s="15"/>
      <c r="BG872" s="15"/>
    </row>
    <row r="873" spans="1:59" ht="14.25" customHeight="1" x14ac:dyDescent="0.3">
      <c r="A873" s="15"/>
      <c r="B873" s="15"/>
      <c r="C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S873" s="15"/>
      <c r="AT873" s="15"/>
      <c r="AU873" s="15"/>
      <c r="AV873" s="15"/>
      <c r="AX873" s="15"/>
      <c r="AY873" s="15"/>
      <c r="AZ873" s="15"/>
      <c r="BA873" s="15"/>
      <c r="BC873" s="15"/>
      <c r="BF873" s="15"/>
      <c r="BG873" s="15"/>
    </row>
    <row r="874" spans="1:59" ht="14.25" customHeight="1" x14ac:dyDescent="0.3">
      <c r="A874" s="15"/>
      <c r="B874" s="15"/>
      <c r="C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S874" s="15"/>
      <c r="AT874" s="15"/>
      <c r="AU874" s="15"/>
      <c r="AV874" s="15"/>
      <c r="AX874" s="15"/>
      <c r="AY874" s="15"/>
      <c r="AZ874" s="15"/>
      <c r="BA874" s="15"/>
      <c r="BC874" s="15"/>
      <c r="BF874" s="15"/>
      <c r="BG874" s="15"/>
    </row>
    <row r="875" spans="1:59" ht="14.25" customHeight="1" x14ac:dyDescent="0.3">
      <c r="A875" s="15"/>
      <c r="B875" s="15"/>
      <c r="C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S875" s="15"/>
      <c r="AT875" s="15"/>
      <c r="AU875" s="15"/>
      <c r="AV875" s="15"/>
      <c r="AX875" s="15"/>
      <c r="AY875" s="15"/>
      <c r="AZ875" s="15"/>
      <c r="BA875" s="15"/>
      <c r="BC875" s="15"/>
      <c r="BF875" s="15"/>
      <c r="BG875" s="15"/>
    </row>
    <row r="876" spans="1:59" ht="14.25" customHeight="1" x14ac:dyDescent="0.3">
      <c r="A876" s="15"/>
      <c r="B876" s="15"/>
      <c r="C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S876" s="15"/>
      <c r="AT876" s="15"/>
      <c r="AU876" s="15"/>
      <c r="AV876" s="15"/>
      <c r="AX876" s="15"/>
      <c r="AY876" s="15"/>
      <c r="AZ876" s="15"/>
      <c r="BA876" s="15"/>
      <c r="BC876" s="15"/>
      <c r="BF876" s="15"/>
      <c r="BG876" s="15"/>
    </row>
    <row r="877" spans="1:59" ht="14.25" customHeight="1" x14ac:dyDescent="0.3">
      <c r="A877" s="15"/>
      <c r="B877" s="15"/>
      <c r="C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S877" s="15"/>
      <c r="AT877" s="15"/>
      <c r="AU877" s="15"/>
      <c r="AV877" s="15"/>
      <c r="AX877" s="15"/>
      <c r="AY877" s="15"/>
      <c r="AZ877" s="15"/>
      <c r="BA877" s="15"/>
      <c r="BC877" s="15"/>
      <c r="BF877" s="15"/>
      <c r="BG877" s="15"/>
    </row>
    <row r="878" spans="1:59" ht="14.25" customHeight="1" x14ac:dyDescent="0.3">
      <c r="A878" s="15"/>
      <c r="B878" s="15"/>
      <c r="C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S878" s="15"/>
      <c r="AT878" s="15"/>
      <c r="AU878" s="15"/>
      <c r="AV878" s="15"/>
      <c r="AX878" s="15"/>
      <c r="AY878" s="15"/>
      <c r="AZ878" s="15"/>
      <c r="BA878" s="15"/>
      <c r="BC878" s="15"/>
      <c r="BF878" s="15"/>
      <c r="BG878" s="15"/>
    </row>
    <row r="879" spans="1:59" ht="14.25" customHeight="1" x14ac:dyDescent="0.3">
      <c r="A879" s="15"/>
      <c r="B879" s="15"/>
      <c r="C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S879" s="15"/>
      <c r="AT879" s="15"/>
      <c r="AU879" s="15"/>
      <c r="AV879" s="15"/>
      <c r="AX879" s="15"/>
      <c r="AY879" s="15"/>
      <c r="AZ879" s="15"/>
      <c r="BA879" s="15"/>
      <c r="BC879" s="15"/>
      <c r="BF879" s="15"/>
      <c r="BG879" s="15"/>
    </row>
    <row r="880" spans="1:59" ht="14.25" customHeight="1" x14ac:dyDescent="0.3">
      <c r="A880" s="15"/>
      <c r="B880" s="15"/>
      <c r="C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S880" s="15"/>
      <c r="AT880" s="15"/>
      <c r="AU880" s="15"/>
      <c r="AV880" s="15"/>
      <c r="AX880" s="15"/>
      <c r="AY880" s="15"/>
      <c r="AZ880" s="15"/>
      <c r="BA880" s="15"/>
      <c r="BC880" s="15"/>
      <c r="BF880" s="15"/>
      <c r="BG880" s="15"/>
    </row>
    <row r="881" spans="1:59" ht="14.25" customHeight="1" x14ac:dyDescent="0.3">
      <c r="A881" s="15"/>
      <c r="B881" s="15"/>
      <c r="C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S881" s="15"/>
      <c r="AT881" s="15"/>
      <c r="AU881" s="15"/>
      <c r="AV881" s="15"/>
      <c r="AX881" s="15"/>
      <c r="AY881" s="15"/>
      <c r="AZ881" s="15"/>
      <c r="BA881" s="15"/>
      <c r="BC881" s="15"/>
      <c r="BF881" s="15"/>
      <c r="BG881" s="15"/>
    </row>
    <row r="882" spans="1:59" ht="14.25" customHeight="1" x14ac:dyDescent="0.3">
      <c r="A882" s="15"/>
      <c r="B882" s="15"/>
      <c r="C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S882" s="15"/>
      <c r="AT882" s="15"/>
      <c r="AU882" s="15"/>
      <c r="AV882" s="15"/>
      <c r="AX882" s="15"/>
      <c r="AY882" s="15"/>
      <c r="AZ882" s="15"/>
      <c r="BA882" s="15"/>
      <c r="BC882" s="15"/>
      <c r="BF882" s="15"/>
      <c r="BG882" s="15"/>
    </row>
    <row r="883" spans="1:59" ht="14.25" customHeight="1" x14ac:dyDescent="0.3">
      <c r="A883" s="15"/>
      <c r="B883" s="15"/>
      <c r="C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S883" s="15"/>
      <c r="AT883" s="15"/>
      <c r="AU883" s="15"/>
      <c r="AV883" s="15"/>
      <c r="AX883" s="15"/>
      <c r="AY883" s="15"/>
      <c r="AZ883" s="15"/>
      <c r="BA883" s="15"/>
      <c r="BC883" s="15"/>
      <c r="BF883" s="15"/>
      <c r="BG883" s="15"/>
    </row>
    <row r="884" spans="1:59" ht="14.25" customHeight="1" x14ac:dyDescent="0.3">
      <c r="A884" s="15"/>
      <c r="B884" s="15"/>
      <c r="C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S884" s="15"/>
      <c r="AT884" s="15"/>
      <c r="AU884" s="15"/>
      <c r="AV884" s="15"/>
      <c r="AX884" s="15"/>
      <c r="AY884" s="15"/>
      <c r="AZ884" s="15"/>
      <c r="BA884" s="15"/>
      <c r="BC884" s="15"/>
      <c r="BF884" s="15"/>
      <c r="BG884" s="15"/>
    </row>
    <row r="885" spans="1:59" ht="14.25" customHeight="1" x14ac:dyDescent="0.3">
      <c r="A885" s="15"/>
      <c r="B885" s="15"/>
      <c r="C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S885" s="15"/>
      <c r="AT885" s="15"/>
      <c r="AU885" s="15"/>
      <c r="AV885" s="15"/>
      <c r="AX885" s="15"/>
      <c r="AY885" s="15"/>
      <c r="AZ885" s="15"/>
      <c r="BA885" s="15"/>
      <c r="BC885" s="15"/>
      <c r="BF885" s="15"/>
      <c r="BG885" s="15"/>
    </row>
    <row r="886" spans="1:59" ht="14.25" customHeight="1" x14ac:dyDescent="0.3">
      <c r="A886" s="15"/>
      <c r="B886" s="15"/>
      <c r="C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S886" s="15"/>
      <c r="AT886" s="15"/>
      <c r="AU886" s="15"/>
      <c r="AV886" s="15"/>
      <c r="AX886" s="15"/>
      <c r="AY886" s="15"/>
      <c r="AZ886" s="15"/>
      <c r="BA886" s="15"/>
      <c r="BC886" s="15"/>
      <c r="BF886" s="15"/>
      <c r="BG886" s="15"/>
    </row>
    <row r="887" spans="1:59" ht="14.25" customHeight="1" x14ac:dyDescent="0.3">
      <c r="A887" s="15"/>
      <c r="B887" s="15"/>
      <c r="C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S887" s="15"/>
      <c r="AT887" s="15"/>
      <c r="AU887" s="15"/>
      <c r="AV887" s="15"/>
      <c r="AX887" s="15"/>
      <c r="AY887" s="15"/>
      <c r="AZ887" s="15"/>
      <c r="BA887" s="15"/>
      <c r="BC887" s="15"/>
      <c r="BF887" s="15"/>
      <c r="BG887" s="15"/>
    </row>
    <row r="888" spans="1:59" ht="14.25" customHeight="1" x14ac:dyDescent="0.3">
      <c r="A888" s="15"/>
      <c r="B888" s="15"/>
      <c r="C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S888" s="15"/>
      <c r="AT888" s="15"/>
      <c r="AU888" s="15"/>
      <c r="AV888" s="15"/>
      <c r="AX888" s="15"/>
      <c r="AY888" s="15"/>
      <c r="AZ888" s="15"/>
      <c r="BA888" s="15"/>
      <c r="BC888" s="15"/>
      <c r="BF888" s="15"/>
      <c r="BG888" s="15"/>
    </row>
    <row r="889" spans="1:59" ht="14.25" customHeight="1" x14ac:dyDescent="0.3">
      <c r="A889" s="15"/>
      <c r="B889" s="15"/>
      <c r="C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S889" s="15"/>
      <c r="AT889" s="15"/>
      <c r="AU889" s="15"/>
      <c r="AV889" s="15"/>
      <c r="AX889" s="15"/>
      <c r="AY889" s="15"/>
      <c r="AZ889" s="15"/>
      <c r="BA889" s="15"/>
      <c r="BC889" s="15"/>
      <c r="BF889" s="15"/>
      <c r="BG889" s="15"/>
    </row>
    <row r="890" spans="1:59" ht="14.25" customHeight="1" x14ac:dyDescent="0.3">
      <c r="A890" s="15"/>
      <c r="B890" s="15"/>
      <c r="C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S890" s="15"/>
      <c r="AT890" s="15"/>
      <c r="AU890" s="15"/>
      <c r="AV890" s="15"/>
      <c r="AX890" s="15"/>
      <c r="AY890" s="15"/>
      <c r="AZ890" s="15"/>
      <c r="BA890" s="15"/>
      <c r="BC890" s="15"/>
      <c r="BF890" s="15"/>
      <c r="BG890" s="15"/>
    </row>
    <row r="891" spans="1:59" ht="14.25" customHeight="1" x14ac:dyDescent="0.3">
      <c r="A891" s="15"/>
      <c r="B891" s="15"/>
      <c r="C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S891" s="15"/>
      <c r="AT891" s="15"/>
      <c r="AU891" s="15"/>
      <c r="AV891" s="15"/>
      <c r="AX891" s="15"/>
      <c r="AY891" s="15"/>
      <c r="AZ891" s="15"/>
      <c r="BA891" s="15"/>
      <c r="BC891" s="15"/>
      <c r="BF891" s="15"/>
      <c r="BG891" s="15"/>
    </row>
    <row r="892" spans="1:59" ht="14.25" customHeight="1" x14ac:dyDescent="0.3">
      <c r="A892" s="15"/>
      <c r="B892" s="15"/>
      <c r="C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S892" s="15"/>
      <c r="AT892" s="15"/>
      <c r="AU892" s="15"/>
      <c r="AV892" s="15"/>
      <c r="AX892" s="15"/>
      <c r="AY892" s="15"/>
      <c r="AZ892" s="15"/>
      <c r="BA892" s="15"/>
      <c r="BC892" s="15"/>
      <c r="BF892" s="15"/>
      <c r="BG892" s="15"/>
    </row>
    <row r="893" spans="1:59" ht="14.25" customHeight="1" x14ac:dyDescent="0.3">
      <c r="A893" s="15"/>
      <c r="B893" s="15"/>
      <c r="C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S893" s="15"/>
      <c r="AT893" s="15"/>
      <c r="AU893" s="15"/>
      <c r="AV893" s="15"/>
      <c r="AX893" s="15"/>
      <c r="AY893" s="15"/>
      <c r="AZ893" s="15"/>
      <c r="BA893" s="15"/>
      <c r="BC893" s="15"/>
      <c r="BF893" s="15"/>
      <c r="BG893" s="15"/>
    </row>
    <row r="894" spans="1:59" ht="14.25" customHeight="1" x14ac:dyDescent="0.3">
      <c r="A894" s="15"/>
      <c r="B894" s="15"/>
      <c r="C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S894" s="15"/>
      <c r="AT894" s="15"/>
      <c r="AU894" s="15"/>
      <c r="AV894" s="15"/>
      <c r="AX894" s="15"/>
      <c r="AY894" s="15"/>
      <c r="AZ894" s="15"/>
      <c r="BA894" s="15"/>
      <c r="BC894" s="15"/>
      <c r="BF894" s="15"/>
      <c r="BG894" s="15"/>
    </row>
    <row r="895" spans="1:59" ht="14.25" customHeight="1" x14ac:dyDescent="0.3">
      <c r="A895" s="15"/>
      <c r="B895" s="15"/>
      <c r="C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S895" s="15"/>
      <c r="AT895" s="15"/>
      <c r="AU895" s="15"/>
      <c r="AV895" s="15"/>
      <c r="AX895" s="15"/>
      <c r="AY895" s="15"/>
      <c r="AZ895" s="15"/>
      <c r="BA895" s="15"/>
      <c r="BC895" s="15"/>
      <c r="BF895" s="15"/>
      <c r="BG895" s="15"/>
    </row>
    <row r="896" spans="1:59" ht="14.25" customHeight="1" x14ac:dyDescent="0.3">
      <c r="A896" s="15"/>
      <c r="B896" s="15"/>
      <c r="C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S896" s="15"/>
      <c r="AT896" s="15"/>
      <c r="AU896" s="15"/>
      <c r="AV896" s="15"/>
      <c r="AX896" s="15"/>
      <c r="AY896" s="15"/>
      <c r="AZ896" s="15"/>
      <c r="BA896" s="15"/>
      <c r="BC896" s="15"/>
      <c r="BF896" s="15"/>
      <c r="BG896" s="15"/>
    </row>
    <row r="897" spans="1:59" ht="14.25" customHeight="1" x14ac:dyDescent="0.3">
      <c r="A897" s="15"/>
      <c r="B897" s="15"/>
      <c r="C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S897" s="15"/>
      <c r="AT897" s="15"/>
      <c r="AU897" s="15"/>
      <c r="AV897" s="15"/>
      <c r="AX897" s="15"/>
      <c r="AY897" s="15"/>
      <c r="AZ897" s="15"/>
      <c r="BA897" s="15"/>
      <c r="BC897" s="15"/>
      <c r="BF897" s="15"/>
      <c r="BG897" s="15"/>
    </row>
    <row r="898" spans="1:59" ht="14.25" customHeight="1" x14ac:dyDescent="0.3">
      <c r="A898" s="15"/>
      <c r="B898" s="15"/>
      <c r="C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S898" s="15"/>
      <c r="AT898" s="15"/>
      <c r="AU898" s="15"/>
      <c r="AV898" s="15"/>
      <c r="AX898" s="15"/>
      <c r="AY898" s="15"/>
      <c r="AZ898" s="15"/>
      <c r="BA898" s="15"/>
      <c r="BC898" s="15"/>
      <c r="BF898" s="15"/>
      <c r="BG898" s="15"/>
    </row>
    <row r="899" spans="1:59" ht="14.25" customHeight="1" x14ac:dyDescent="0.3">
      <c r="A899" s="15"/>
      <c r="B899" s="15"/>
      <c r="C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S899" s="15"/>
      <c r="AT899" s="15"/>
      <c r="AU899" s="15"/>
      <c r="AV899" s="15"/>
      <c r="AX899" s="15"/>
      <c r="AY899" s="15"/>
      <c r="AZ899" s="15"/>
      <c r="BA899" s="15"/>
      <c r="BC899" s="15"/>
      <c r="BF899" s="15"/>
      <c r="BG899" s="15"/>
    </row>
    <row r="900" spans="1:59" ht="14.25" customHeight="1" x14ac:dyDescent="0.3">
      <c r="A900" s="15"/>
      <c r="B900" s="15"/>
      <c r="C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S900" s="15"/>
      <c r="AT900" s="15"/>
      <c r="AU900" s="15"/>
      <c r="AV900" s="15"/>
      <c r="AX900" s="15"/>
      <c r="AY900" s="15"/>
      <c r="AZ900" s="15"/>
      <c r="BA900" s="15"/>
      <c r="BC900" s="15"/>
      <c r="BF900" s="15"/>
      <c r="BG900" s="15"/>
    </row>
    <row r="901" spans="1:59" ht="14.25" customHeight="1" x14ac:dyDescent="0.3">
      <c r="A901" s="15"/>
      <c r="B901" s="15"/>
      <c r="C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S901" s="15"/>
      <c r="AT901" s="15"/>
      <c r="AU901" s="15"/>
      <c r="AV901" s="15"/>
      <c r="AX901" s="15"/>
      <c r="AY901" s="15"/>
      <c r="AZ901" s="15"/>
      <c r="BA901" s="15"/>
      <c r="BC901" s="15"/>
      <c r="BF901" s="15"/>
      <c r="BG901" s="15"/>
    </row>
    <row r="902" spans="1:59" ht="14.25" customHeight="1" x14ac:dyDescent="0.3">
      <c r="A902" s="15"/>
      <c r="B902" s="15"/>
      <c r="C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S902" s="15"/>
      <c r="AT902" s="15"/>
      <c r="AU902" s="15"/>
      <c r="AV902" s="15"/>
      <c r="AX902" s="15"/>
      <c r="AY902" s="15"/>
      <c r="AZ902" s="15"/>
      <c r="BA902" s="15"/>
      <c r="BC902" s="15"/>
      <c r="BF902" s="15"/>
      <c r="BG902" s="15"/>
    </row>
    <row r="903" spans="1:59" ht="14.25" customHeight="1" x14ac:dyDescent="0.3">
      <c r="A903" s="15"/>
      <c r="B903" s="15"/>
      <c r="C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S903" s="15"/>
      <c r="AT903" s="15"/>
      <c r="AU903" s="15"/>
      <c r="AV903" s="15"/>
      <c r="AX903" s="15"/>
      <c r="AY903" s="15"/>
      <c r="AZ903" s="15"/>
      <c r="BA903" s="15"/>
      <c r="BC903" s="15"/>
      <c r="BF903" s="15"/>
      <c r="BG903" s="15"/>
    </row>
    <row r="904" spans="1:59" ht="14.25" customHeight="1" x14ac:dyDescent="0.3">
      <c r="A904" s="15"/>
      <c r="B904" s="15"/>
      <c r="C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S904" s="15"/>
      <c r="AT904" s="15"/>
      <c r="AU904" s="15"/>
      <c r="AV904" s="15"/>
      <c r="AX904" s="15"/>
      <c r="AY904" s="15"/>
      <c r="AZ904" s="15"/>
      <c r="BA904" s="15"/>
      <c r="BC904" s="15"/>
      <c r="BF904" s="15"/>
      <c r="BG904" s="15"/>
    </row>
    <row r="905" spans="1:59" ht="14.25" customHeight="1" x14ac:dyDescent="0.3">
      <c r="A905" s="15"/>
      <c r="B905" s="15"/>
      <c r="C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S905" s="15"/>
      <c r="AT905" s="15"/>
      <c r="AU905" s="15"/>
      <c r="AV905" s="15"/>
      <c r="AX905" s="15"/>
      <c r="AY905" s="15"/>
      <c r="AZ905" s="15"/>
      <c r="BA905" s="15"/>
      <c r="BC905" s="15"/>
      <c r="BF905" s="15"/>
      <c r="BG905" s="15"/>
    </row>
    <row r="906" spans="1:59" ht="14.25" customHeight="1" x14ac:dyDescent="0.3">
      <c r="A906" s="15"/>
      <c r="B906" s="15"/>
      <c r="C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S906" s="15"/>
      <c r="AT906" s="15"/>
      <c r="AU906" s="15"/>
      <c r="AV906" s="15"/>
      <c r="AX906" s="15"/>
      <c r="AY906" s="15"/>
      <c r="AZ906" s="15"/>
      <c r="BA906" s="15"/>
      <c r="BC906" s="15"/>
      <c r="BF906" s="15"/>
      <c r="BG906" s="15"/>
    </row>
    <row r="907" spans="1:59" ht="14.25" customHeight="1" x14ac:dyDescent="0.3">
      <c r="A907" s="15"/>
      <c r="B907" s="15"/>
      <c r="C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S907" s="15"/>
      <c r="AT907" s="15"/>
      <c r="AU907" s="15"/>
      <c r="AV907" s="15"/>
      <c r="AX907" s="15"/>
      <c r="AY907" s="15"/>
      <c r="AZ907" s="15"/>
      <c r="BA907" s="15"/>
      <c r="BC907" s="15"/>
      <c r="BF907" s="15"/>
      <c r="BG907" s="15"/>
    </row>
    <row r="908" spans="1:59" ht="14.25" customHeight="1" x14ac:dyDescent="0.3">
      <c r="A908" s="15"/>
      <c r="B908" s="15"/>
      <c r="C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S908" s="15"/>
      <c r="AT908" s="15"/>
      <c r="AU908" s="15"/>
      <c r="AV908" s="15"/>
      <c r="AX908" s="15"/>
      <c r="AY908" s="15"/>
      <c r="AZ908" s="15"/>
      <c r="BA908" s="15"/>
      <c r="BC908" s="15"/>
      <c r="BF908" s="15"/>
      <c r="BG908" s="15"/>
    </row>
    <row r="909" spans="1:59" ht="14.25" customHeight="1" x14ac:dyDescent="0.3">
      <c r="A909" s="15"/>
      <c r="B909" s="15"/>
      <c r="C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S909" s="15"/>
      <c r="AT909" s="15"/>
      <c r="AU909" s="15"/>
      <c r="AV909" s="15"/>
      <c r="AX909" s="15"/>
      <c r="AY909" s="15"/>
      <c r="AZ909" s="15"/>
      <c r="BA909" s="15"/>
      <c r="BC909" s="15"/>
      <c r="BF909" s="15"/>
      <c r="BG909" s="15"/>
    </row>
    <row r="910" spans="1:59" ht="14.25" customHeight="1" x14ac:dyDescent="0.3">
      <c r="A910" s="15"/>
      <c r="B910" s="15"/>
      <c r="C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S910" s="15"/>
      <c r="AT910" s="15"/>
      <c r="AU910" s="15"/>
      <c r="AV910" s="15"/>
      <c r="AX910" s="15"/>
      <c r="AY910" s="15"/>
      <c r="AZ910" s="15"/>
      <c r="BA910" s="15"/>
      <c r="BC910" s="15"/>
      <c r="BF910" s="15"/>
      <c r="BG910" s="15"/>
    </row>
    <row r="911" spans="1:59" ht="14.25" customHeight="1" x14ac:dyDescent="0.3">
      <c r="A911" s="15"/>
      <c r="B911" s="15"/>
      <c r="C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S911" s="15"/>
      <c r="AT911" s="15"/>
      <c r="AU911" s="15"/>
      <c r="AV911" s="15"/>
      <c r="AX911" s="15"/>
      <c r="AY911" s="15"/>
      <c r="AZ911" s="15"/>
      <c r="BA911" s="15"/>
      <c r="BC911" s="15"/>
      <c r="BF911" s="15"/>
      <c r="BG911" s="15"/>
    </row>
    <row r="912" spans="1:59" ht="14.25" customHeight="1" x14ac:dyDescent="0.3">
      <c r="A912" s="15"/>
      <c r="B912" s="15"/>
      <c r="C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S912" s="15"/>
      <c r="AT912" s="15"/>
      <c r="AU912" s="15"/>
      <c r="AV912" s="15"/>
      <c r="AX912" s="15"/>
      <c r="AY912" s="15"/>
      <c r="AZ912" s="15"/>
      <c r="BA912" s="15"/>
      <c r="BC912" s="15"/>
      <c r="BF912" s="15"/>
      <c r="BG912" s="15"/>
    </row>
    <row r="913" spans="1:59" ht="14.25" customHeight="1" x14ac:dyDescent="0.3">
      <c r="A913" s="15"/>
      <c r="B913" s="15"/>
      <c r="C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S913" s="15"/>
      <c r="AT913" s="15"/>
      <c r="AU913" s="15"/>
      <c r="AV913" s="15"/>
      <c r="AX913" s="15"/>
      <c r="AY913" s="15"/>
      <c r="AZ913" s="15"/>
      <c r="BA913" s="15"/>
      <c r="BC913" s="15"/>
      <c r="BF913" s="15"/>
      <c r="BG913" s="15"/>
    </row>
    <row r="914" spans="1:59" ht="14.25" customHeight="1" x14ac:dyDescent="0.3">
      <c r="A914" s="15"/>
      <c r="B914" s="15"/>
      <c r="C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S914" s="15"/>
      <c r="AT914" s="15"/>
      <c r="AU914" s="15"/>
      <c r="AV914" s="15"/>
      <c r="AX914" s="15"/>
      <c r="AY914" s="15"/>
      <c r="AZ914" s="15"/>
      <c r="BA914" s="15"/>
      <c r="BC914" s="15"/>
      <c r="BF914" s="15"/>
      <c r="BG914" s="15"/>
    </row>
    <row r="915" spans="1:59" ht="14.25" customHeight="1" x14ac:dyDescent="0.3">
      <c r="A915" s="15"/>
      <c r="B915" s="15"/>
      <c r="C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S915" s="15"/>
      <c r="AT915" s="15"/>
      <c r="AU915" s="15"/>
      <c r="AV915" s="15"/>
      <c r="AX915" s="15"/>
      <c r="AY915" s="15"/>
      <c r="AZ915" s="15"/>
      <c r="BA915" s="15"/>
      <c r="BC915" s="15"/>
      <c r="BF915" s="15"/>
      <c r="BG915" s="15"/>
    </row>
    <row r="916" spans="1:59" ht="14.25" customHeight="1" x14ac:dyDescent="0.3">
      <c r="A916" s="15"/>
      <c r="B916" s="15"/>
      <c r="C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S916" s="15"/>
      <c r="AT916" s="15"/>
      <c r="AU916" s="15"/>
      <c r="AV916" s="15"/>
      <c r="AX916" s="15"/>
      <c r="AY916" s="15"/>
      <c r="AZ916" s="15"/>
      <c r="BA916" s="15"/>
      <c r="BC916" s="15"/>
      <c r="BF916" s="15"/>
      <c r="BG916" s="15"/>
    </row>
    <row r="917" spans="1:59" ht="14.25" customHeight="1" x14ac:dyDescent="0.3">
      <c r="A917" s="15"/>
      <c r="B917" s="15"/>
      <c r="C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S917" s="15"/>
      <c r="AT917" s="15"/>
      <c r="AU917" s="15"/>
      <c r="AV917" s="15"/>
      <c r="AX917" s="15"/>
      <c r="AY917" s="15"/>
      <c r="AZ917" s="15"/>
      <c r="BA917" s="15"/>
      <c r="BC917" s="15"/>
      <c r="BF917" s="15"/>
      <c r="BG917" s="15"/>
    </row>
    <row r="918" spans="1:59" ht="14.25" customHeight="1" x14ac:dyDescent="0.3">
      <c r="A918" s="15"/>
      <c r="B918" s="15"/>
      <c r="C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S918" s="15"/>
      <c r="AT918" s="15"/>
      <c r="AU918" s="15"/>
      <c r="AV918" s="15"/>
      <c r="AX918" s="15"/>
      <c r="AY918" s="15"/>
      <c r="AZ918" s="15"/>
      <c r="BA918" s="15"/>
      <c r="BC918" s="15"/>
      <c r="BF918" s="15"/>
      <c r="BG918" s="15"/>
    </row>
    <row r="919" spans="1:59" ht="14.25" customHeight="1" x14ac:dyDescent="0.3">
      <c r="A919" s="15"/>
      <c r="B919" s="15"/>
      <c r="C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S919" s="15"/>
      <c r="AT919" s="15"/>
      <c r="AU919" s="15"/>
      <c r="AV919" s="15"/>
      <c r="AX919" s="15"/>
      <c r="AY919" s="15"/>
      <c r="AZ919" s="15"/>
      <c r="BA919" s="15"/>
      <c r="BC919" s="15"/>
      <c r="BF919" s="15"/>
      <c r="BG919" s="15"/>
    </row>
    <row r="920" spans="1:59" ht="14.25" customHeight="1" x14ac:dyDescent="0.3">
      <c r="A920" s="15"/>
      <c r="B920" s="15"/>
      <c r="C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S920" s="15"/>
      <c r="AT920" s="15"/>
      <c r="AU920" s="15"/>
      <c r="AV920" s="15"/>
      <c r="AX920" s="15"/>
      <c r="AY920" s="15"/>
      <c r="AZ920" s="15"/>
      <c r="BA920" s="15"/>
      <c r="BC920" s="15"/>
      <c r="BF920" s="15"/>
      <c r="BG920" s="15"/>
    </row>
    <row r="921" spans="1:59" ht="14.25" customHeight="1" x14ac:dyDescent="0.3">
      <c r="A921" s="15"/>
      <c r="B921" s="15"/>
      <c r="C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S921" s="15"/>
      <c r="AT921" s="15"/>
      <c r="AU921" s="15"/>
      <c r="AV921" s="15"/>
      <c r="AX921" s="15"/>
      <c r="AY921" s="15"/>
      <c r="AZ921" s="15"/>
      <c r="BA921" s="15"/>
      <c r="BC921" s="15"/>
      <c r="BF921" s="15"/>
      <c r="BG921" s="15"/>
    </row>
    <row r="922" spans="1:59" ht="14.25" customHeight="1" x14ac:dyDescent="0.3">
      <c r="A922" s="15"/>
      <c r="B922" s="15"/>
      <c r="C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S922" s="15"/>
      <c r="AT922" s="15"/>
      <c r="AU922" s="15"/>
      <c r="AV922" s="15"/>
      <c r="AX922" s="15"/>
      <c r="AY922" s="15"/>
      <c r="AZ922" s="15"/>
      <c r="BA922" s="15"/>
      <c r="BC922" s="15"/>
      <c r="BF922" s="15"/>
      <c r="BG922" s="15"/>
    </row>
    <row r="923" spans="1:59" ht="14.25" customHeight="1" x14ac:dyDescent="0.3">
      <c r="A923" s="15"/>
      <c r="B923" s="15"/>
      <c r="C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S923" s="15"/>
      <c r="AT923" s="15"/>
      <c r="AU923" s="15"/>
      <c r="AV923" s="15"/>
      <c r="AX923" s="15"/>
      <c r="AY923" s="15"/>
      <c r="AZ923" s="15"/>
      <c r="BA923" s="15"/>
      <c r="BC923" s="15"/>
      <c r="BF923" s="15"/>
      <c r="BG923" s="15"/>
    </row>
    <row r="924" spans="1:59" ht="14.25" customHeight="1" x14ac:dyDescent="0.3">
      <c r="A924" s="15"/>
      <c r="B924" s="15"/>
      <c r="C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S924" s="15"/>
      <c r="AT924" s="15"/>
      <c r="AU924" s="15"/>
      <c r="AV924" s="15"/>
      <c r="AX924" s="15"/>
      <c r="AY924" s="15"/>
      <c r="AZ924" s="15"/>
      <c r="BA924" s="15"/>
      <c r="BC924" s="15"/>
      <c r="BF924" s="15"/>
      <c r="BG924" s="15"/>
    </row>
    <row r="925" spans="1:59" ht="14.25" customHeight="1" x14ac:dyDescent="0.3">
      <c r="A925" s="15"/>
      <c r="B925" s="15"/>
      <c r="C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S925" s="15"/>
      <c r="AT925" s="15"/>
      <c r="AU925" s="15"/>
      <c r="AV925" s="15"/>
      <c r="AX925" s="15"/>
      <c r="AY925" s="15"/>
      <c r="AZ925" s="15"/>
      <c r="BA925" s="15"/>
      <c r="BC925" s="15"/>
      <c r="BF925" s="15"/>
      <c r="BG925" s="15"/>
    </row>
    <row r="926" spans="1:59" ht="14.25" customHeight="1" x14ac:dyDescent="0.3">
      <c r="A926" s="15"/>
      <c r="B926" s="15"/>
      <c r="C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S926" s="15"/>
      <c r="AT926" s="15"/>
      <c r="AU926" s="15"/>
      <c r="AV926" s="15"/>
      <c r="AX926" s="15"/>
      <c r="AY926" s="15"/>
      <c r="AZ926" s="15"/>
      <c r="BA926" s="15"/>
      <c r="BC926" s="15"/>
      <c r="BF926" s="15"/>
      <c r="BG926" s="15"/>
    </row>
    <row r="927" spans="1:59" ht="14.25" customHeight="1" x14ac:dyDescent="0.3">
      <c r="A927" s="15"/>
      <c r="B927" s="15"/>
      <c r="C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S927" s="15"/>
      <c r="AT927" s="15"/>
      <c r="AU927" s="15"/>
      <c r="AV927" s="15"/>
      <c r="AX927" s="15"/>
      <c r="AY927" s="15"/>
      <c r="AZ927" s="15"/>
      <c r="BA927" s="15"/>
      <c r="BC927" s="15"/>
      <c r="BF927" s="15"/>
      <c r="BG927" s="15"/>
    </row>
    <row r="928" spans="1:59" ht="14.25" customHeight="1" x14ac:dyDescent="0.3">
      <c r="A928" s="15"/>
      <c r="B928" s="15"/>
      <c r="C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S928" s="15"/>
      <c r="AT928" s="15"/>
      <c r="AU928" s="15"/>
      <c r="AV928" s="15"/>
      <c r="AX928" s="15"/>
      <c r="AY928" s="15"/>
      <c r="AZ928" s="15"/>
      <c r="BA928" s="15"/>
      <c r="BC928" s="15"/>
      <c r="BF928" s="15"/>
      <c r="BG928" s="15"/>
    </row>
    <row r="929" spans="1:59" ht="14.25" customHeight="1" x14ac:dyDescent="0.3">
      <c r="A929" s="15"/>
      <c r="B929" s="15"/>
      <c r="C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S929" s="15"/>
      <c r="AT929" s="15"/>
      <c r="AU929" s="15"/>
      <c r="AV929" s="15"/>
      <c r="AX929" s="15"/>
      <c r="AY929" s="15"/>
      <c r="AZ929" s="15"/>
      <c r="BA929" s="15"/>
      <c r="BC929" s="15"/>
      <c r="BF929" s="15"/>
      <c r="BG929" s="15"/>
    </row>
    <row r="930" spans="1:59" ht="14.25" customHeight="1" x14ac:dyDescent="0.3">
      <c r="A930" s="15"/>
      <c r="B930" s="15"/>
      <c r="C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S930" s="15"/>
      <c r="AT930" s="15"/>
      <c r="AU930" s="15"/>
      <c r="AV930" s="15"/>
      <c r="AX930" s="15"/>
      <c r="AY930" s="15"/>
      <c r="AZ930" s="15"/>
      <c r="BA930" s="15"/>
      <c r="BC930" s="15"/>
      <c r="BF930" s="15"/>
      <c r="BG930" s="15"/>
    </row>
    <row r="931" spans="1:59" ht="14.25" customHeight="1" x14ac:dyDescent="0.3">
      <c r="A931" s="15"/>
      <c r="B931" s="15"/>
      <c r="C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S931" s="15"/>
      <c r="AT931" s="15"/>
      <c r="AU931" s="15"/>
      <c r="AV931" s="15"/>
      <c r="AX931" s="15"/>
      <c r="AY931" s="15"/>
      <c r="AZ931" s="15"/>
      <c r="BA931" s="15"/>
      <c r="BC931" s="15"/>
      <c r="BF931" s="15"/>
      <c r="BG931" s="15"/>
    </row>
    <row r="932" spans="1:59" ht="14.25" customHeight="1" x14ac:dyDescent="0.3">
      <c r="A932" s="15"/>
      <c r="B932" s="15"/>
      <c r="C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S932" s="15"/>
      <c r="AT932" s="15"/>
      <c r="AU932" s="15"/>
      <c r="AV932" s="15"/>
      <c r="AX932" s="15"/>
      <c r="AY932" s="15"/>
      <c r="AZ932" s="15"/>
      <c r="BA932" s="15"/>
      <c r="BC932" s="15"/>
      <c r="BF932" s="15"/>
      <c r="BG932" s="15"/>
    </row>
    <row r="933" spans="1:59" ht="14.25" customHeight="1" x14ac:dyDescent="0.3">
      <c r="A933" s="15"/>
      <c r="B933" s="15"/>
      <c r="C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S933" s="15"/>
      <c r="AT933" s="15"/>
      <c r="AU933" s="15"/>
      <c r="AV933" s="15"/>
      <c r="AX933" s="15"/>
      <c r="AY933" s="15"/>
      <c r="AZ933" s="15"/>
      <c r="BA933" s="15"/>
      <c r="BC933" s="15"/>
      <c r="BF933" s="15"/>
      <c r="BG933" s="15"/>
    </row>
    <row r="934" spans="1:59" ht="14.25" customHeight="1" x14ac:dyDescent="0.3">
      <c r="A934" s="15"/>
      <c r="B934" s="15"/>
      <c r="C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S934" s="15"/>
      <c r="AT934" s="15"/>
      <c r="AU934" s="15"/>
      <c r="AV934" s="15"/>
      <c r="AX934" s="15"/>
      <c r="AY934" s="15"/>
      <c r="AZ934" s="15"/>
      <c r="BA934" s="15"/>
      <c r="BC934" s="15"/>
      <c r="BF934" s="15"/>
      <c r="BG934" s="15"/>
    </row>
    <row r="935" spans="1:59" ht="14.25" customHeight="1" x14ac:dyDescent="0.3">
      <c r="A935" s="15"/>
      <c r="B935" s="15"/>
      <c r="C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S935" s="15"/>
      <c r="AT935" s="15"/>
      <c r="AU935" s="15"/>
      <c r="AV935" s="15"/>
      <c r="AX935" s="15"/>
      <c r="AY935" s="15"/>
      <c r="AZ935" s="15"/>
      <c r="BA935" s="15"/>
      <c r="BC935" s="15"/>
      <c r="BF935" s="15"/>
      <c r="BG935" s="15"/>
    </row>
    <row r="936" spans="1:59" ht="14.25" customHeight="1" x14ac:dyDescent="0.3">
      <c r="A936" s="15"/>
      <c r="B936" s="15"/>
      <c r="C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S936" s="15"/>
      <c r="AT936" s="15"/>
      <c r="AU936" s="15"/>
      <c r="AV936" s="15"/>
      <c r="AX936" s="15"/>
      <c r="AY936" s="15"/>
      <c r="AZ936" s="15"/>
      <c r="BA936" s="15"/>
      <c r="BC936" s="15"/>
      <c r="BF936" s="15"/>
      <c r="BG936" s="15"/>
    </row>
    <row r="937" spans="1:59" ht="14.25" customHeight="1" x14ac:dyDescent="0.3">
      <c r="A937" s="15"/>
      <c r="B937" s="15"/>
      <c r="C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S937" s="15"/>
      <c r="AT937" s="15"/>
      <c r="AU937" s="15"/>
      <c r="AV937" s="15"/>
      <c r="AX937" s="15"/>
      <c r="AY937" s="15"/>
      <c r="AZ937" s="15"/>
      <c r="BA937" s="15"/>
      <c r="BC937" s="15"/>
      <c r="BF937" s="15"/>
      <c r="BG937" s="15"/>
    </row>
    <row r="938" spans="1:59" ht="14.25" customHeight="1" x14ac:dyDescent="0.3">
      <c r="A938" s="15"/>
      <c r="B938" s="15"/>
      <c r="C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S938" s="15"/>
      <c r="AT938" s="15"/>
      <c r="AU938" s="15"/>
      <c r="AV938" s="15"/>
      <c r="AX938" s="15"/>
      <c r="AY938" s="15"/>
      <c r="AZ938" s="15"/>
      <c r="BA938" s="15"/>
      <c r="BC938" s="15"/>
      <c r="BF938" s="15"/>
      <c r="BG938" s="15"/>
    </row>
    <row r="939" spans="1:59" ht="14.25" customHeight="1" x14ac:dyDescent="0.3">
      <c r="A939" s="15"/>
      <c r="B939" s="15"/>
      <c r="C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S939" s="15"/>
      <c r="AT939" s="15"/>
      <c r="AU939" s="15"/>
      <c r="AV939" s="15"/>
      <c r="AX939" s="15"/>
      <c r="AY939" s="15"/>
      <c r="AZ939" s="15"/>
      <c r="BA939" s="15"/>
      <c r="BC939" s="15"/>
      <c r="BF939" s="15"/>
      <c r="BG939" s="15"/>
    </row>
    <row r="940" spans="1:59" ht="14.25" customHeight="1" x14ac:dyDescent="0.3">
      <c r="A940" s="15"/>
      <c r="B940" s="15"/>
      <c r="C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S940" s="15"/>
      <c r="AT940" s="15"/>
      <c r="AU940" s="15"/>
      <c r="AV940" s="15"/>
      <c r="AX940" s="15"/>
      <c r="AY940" s="15"/>
      <c r="AZ940" s="15"/>
      <c r="BA940" s="15"/>
      <c r="BC940" s="15"/>
      <c r="BF940" s="15"/>
      <c r="BG940" s="15"/>
    </row>
    <row r="941" spans="1:59" ht="14.25" customHeight="1" x14ac:dyDescent="0.3">
      <c r="A941" s="15"/>
      <c r="B941" s="15"/>
      <c r="C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S941" s="15"/>
      <c r="AT941" s="15"/>
      <c r="AU941" s="15"/>
      <c r="AV941" s="15"/>
      <c r="AX941" s="15"/>
      <c r="AY941" s="15"/>
      <c r="AZ941" s="15"/>
      <c r="BA941" s="15"/>
      <c r="BC941" s="15"/>
      <c r="BF941" s="15"/>
      <c r="BG941" s="15"/>
    </row>
    <row r="942" spans="1:59" ht="14.25" customHeight="1" x14ac:dyDescent="0.3">
      <c r="A942" s="15"/>
      <c r="B942" s="15"/>
      <c r="C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S942" s="15"/>
      <c r="AT942" s="15"/>
      <c r="AU942" s="15"/>
      <c r="AV942" s="15"/>
      <c r="AX942" s="15"/>
      <c r="AY942" s="15"/>
      <c r="AZ942" s="15"/>
      <c r="BA942" s="15"/>
      <c r="BC942" s="15"/>
      <c r="BF942" s="15"/>
      <c r="BG942" s="15"/>
    </row>
    <row r="943" spans="1:59" ht="14.25" customHeight="1" x14ac:dyDescent="0.3">
      <c r="A943" s="15"/>
      <c r="B943" s="15"/>
      <c r="C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S943" s="15"/>
      <c r="AT943" s="15"/>
      <c r="AU943" s="15"/>
      <c r="AV943" s="15"/>
      <c r="AX943" s="15"/>
      <c r="AY943" s="15"/>
      <c r="AZ943" s="15"/>
      <c r="BA943" s="15"/>
      <c r="BC943" s="15"/>
      <c r="BF943" s="15"/>
      <c r="BG943" s="15"/>
    </row>
    <row r="944" spans="1:59" ht="14.25" customHeight="1" x14ac:dyDescent="0.3">
      <c r="A944" s="15"/>
      <c r="B944" s="15"/>
      <c r="C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S944" s="15"/>
      <c r="AT944" s="15"/>
      <c r="AU944" s="15"/>
      <c r="AV944" s="15"/>
      <c r="AX944" s="15"/>
      <c r="AY944" s="15"/>
      <c r="AZ944" s="15"/>
      <c r="BA944" s="15"/>
      <c r="BC944" s="15"/>
      <c r="BF944" s="15"/>
      <c r="BG944" s="15"/>
    </row>
    <row r="945" spans="1:59" ht="14.25" customHeight="1" x14ac:dyDescent="0.3">
      <c r="A945" s="15"/>
      <c r="B945" s="15"/>
      <c r="C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S945" s="15"/>
      <c r="AT945" s="15"/>
      <c r="AU945" s="15"/>
      <c r="AV945" s="15"/>
      <c r="AX945" s="15"/>
      <c r="AY945" s="15"/>
      <c r="AZ945" s="15"/>
      <c r="BA945" s="15"/>
      <c r="BC945" s="15"/>
      <c r="BF945" s="15"/>
      <c r="BG945" s="15"/>
    </row>
    <row r="946" spans="1:59" ht="14.25" customHeight="1" x14ac:dyDescent="0.3">
      <c r="A946" s="15"/>
      <c r="B946" s="15"/>
      <c r="C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S946" s="15"/>
      <c r="AT946" s="15"/>
      <c r="AU946" s="15"/>
      <c r="AV946" s="15"/>
      <c r="AX946" s="15"/>
      <c r="AY946" s="15"/>
      <c r="AZ946" s="15"/>
      <c r="BA946" s="15"/>
      <c r="BC946" s="15"/>
      <c r="BF946" s="15"/>
      <c r="BG946" s="15"/>
    </row>
    <row r="947" spans="1:59" ht="14.25" customHeight="1" x14ac:dyDescent="0.3">
      <c r="A947" s="15"/>
      <c r="B947" s="15"/>
      <c r="C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S947" s="15"/>
      <c r="AT947" s="15"/>
      <c r="AU947" s="15"/>
      <c r="AV947" s="15"/>
      <c r="AX947" s="15"/>
      <c r="AY947" s="15"/>
      <c r="AZ947" s="15"/>
      <c r="BA947" s="15"/>
      <c r="BC947" s="15"/>
      <c r="BF947" s="15"/>
      <c r="BG947" s="15"/>
    </row>
    <row r="948" spans="1:59" ht="14.25" customHeight="1" x14ac:dyDescent="0.3">
      <c r="A948" s="15"/>
      <c r="B948" s="15"/>
      <c r="C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S948" s="15"/>
      <c r="AT948" s="15"/>
      <c r="AU948" s="15"/>
      <c r="AV948" s="15"/>
      <c r="AX948" s="15"/>
      <c r="AY948" s="15"/>
      <c r="AZ948" s="15"/>
      <c r="BA948" s="15"/>
      <c r="BC948" s="15"/>
      <c r="BF948" s="15"/>
      <c r="BG948" s="15"/>
    </row>
    <row r="949" spans="1:59" ht="14.25" customHeight="1" x14ac:dyDescent="0.3">
      <c r="A949" s="15"/>
      <c r="B949" s="15"/>
      <c r="C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S949" s="15"/>
      <c r="AT949" s="15"/>
      <c r="AU949" s="15"/>
      <c r="AV949" s="15"/>
      <c r="AX949" s="15"/>
      <c r="AY949" s="15"/>
      <c r="AZ949" s="15"/>
      <c r="BA949" s="15"/>
      <c r="BC949" s="15"/>
      <c r="BF949" s="15"/>
      <c r="BG949" s="15"/>
    </row>
    <row r="950" spans="1:59" ht="14.25" customHeight="1" x14ac:dyDescent="0.3">
      <c r="A950" s="15"/>
      <c r="B950" s="15"/>
      <c r="C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S950" s="15"/>
      <c r="AT950" s="15"/>
      <c r="AU950" s="15"/>
      <c r="AV950" s="15"/>
      <c r="AX950" s="15"/>
      <c r="AY950" s="15"/>
      <c r="AZ950" s="15"/>
      <c r="BA950" s="15"/>
      <c r="BC950" s="15"/>
      <c r="BF950" s="15"/>
      <c r="BG950" s="15"/>
    </row>
    <row r="951" spans="1:59" ht="14.25" customHeight="1" x14ac:dyDescent="0.3">
      <c r="A951" s="15"/>
      <c r="B951" s="15"/>
      <c r="C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S951" s="15"/>
      <c r="AT951" s="15"/>
      <c r="AU951" s="15"/>
      <c r="AV951" s="15"/>
      <c r="AX951" s="15"/>
      <c r="AY951" s="15"/>
      <c r="AZ951" s="15"/>
      <c r="BA951" s="15"/>
      <c r="BC951" s="15"/>
      <c r="BF951" s="15"/>
      <c r="BG951" s="15"/>
    </row>
    <row r="952" spans="1:59" ht="14.25" customHeight="1" x14ac:dyDescent="0.3">
      <c r="A952" s="15"/>
      <c r="B952" s="15"/>
      <c r="C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S952" s="15"/>
      <c r="AT952" s="15"/>
      <c r="AU952" s="15"/>
      <c r="AV952" s="15"/>
      <c r="AX952" s="15"/>
      <c r="AY952" s="15"/>
      <c r="AZ952" s="15"/>
      <c r="BA952" s="15"/>
      <c r="BC952" s="15"/>
      <c r="BF952" s="15"/>
      <c r="BG952" s="15"/>
    </row>
    <row r="953" spans="1:59" ht="14.25" customHeight="1" x14ac:dyDescent="0.3">
      <c r="A953" s="15"/>
      <c r="B953" s="15"/>
      <c r="C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S953" s="15"/>
      <c r="AT953" s="15"/>
      <c r="AU953" s="15"/>
      <c r="AV953" s="15"/>
      <c r="AX953" s="15"/>
      <c r="AY953" s="15"/>
      <c r="AZ953" s="15"/>
      <c r="BA953" s="15"/>
      <c r="BC953" s="15"/>
      <c r="BF953" s="15"/>
      <c r="BG953" s="15"/>
    </row>
    <row r="954" spans="1:59" ht="14.25" customHeight="1" x14ac:dyDescent="0.3">
      <c r="A954" s="15"/>
      <c r="B954" s="15"/>
      <c r="C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S954" s="15"/>
      <c r="AT954" s="15"/>
      <c r="AU954" s="15"/>
      <c r="AV954" s="15"/>
      <c r="AX954" s="15"/>
      <c r="AY954" s="15"/>
      <c r="AZ954" s="15"/>
      <c r="BA954" s="15"/>
      <c r="BC954" s="15"/>
      <c r="BF954" s="15"/>
      <c r="BG954" s="15"/>
    </row>
    <row r="955" spans="1:59" ht="14.25" customHeight="1" x14ac:dyDescent="0.3">
      <c r="A955" s="15"/>
      <c r="B955" s="15"/>
      <c r="C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S955" s="15"/>
      <c r="AT955" s="15"/>
      <c r="AU955" s="15"/>
      <c r="AV955" s="15"/>
      <c r="AX955" s="15"/>
      <c r="AY955" s="15"/>
      <c r="AZ955" s="15"/>
      <c r="BA955" s="15"/>
      <c r="BC955" s="15"/>
      <c r="BF955" s="15"/>
      <c r="BG955" s="15"/>
    </row>
    <row r="956" spans="1:59" ht="14.25" customHeight="1" x14ac:dyDescent="0.3">
      <c r="A956" s="15"/>
      <c r="B956" s="15"/>
      <c r="C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S956" s="15"/>
      <c r="AT956" s="15"/>
      <c r="AU956" s="15"/>
      <c r="AV956" s="15"/>
      <c r="AX956" s="15"/>
      <c r="AY956" s="15"/>
      <c r="AZ956" s="15"/>
      <c r="BA956" s="15"/>
      <c r="BC956" s="15"/>
      <c r="BF956" s="15"/>
      <c r="BG956" s="15"/>
    </row>
    <row r="957" spans="1:59" ht="14.25" customHeight="1" x14ac:dyDescent="0.3">
      <c r="A957" s="15"/>
      <c r="B957" s="15"/>
      <c r="C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S957" s="15"/>
      <c r="AT957" s="15"/>
      <c r="AU957" s="15"/>
      <c r="AV957" s="15"/>
      <c r="AX957" s="15"/>
      <c r="AY957" s="15"/>
      <c r="AZ957" s="15"/>
      <c r="BA957" s="15"/>
      <c r="BC957" s="15"/>
      <c r="BF957" s="15"/>
      <c r="BG957" s="15"/>
    </row>
    <row r="958" spans="1:59" ht="14.25" customHeight="1" x14ac:dyDescent="0.3">
      <c r="A958" s="15"/>
      <c r="B958" s="15"/>
      <c r="C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S958" s="15"/>
      <c r="AT958" s="15"/>
      <c r="AU958" s="15"/>
      <c r="AV958" s="15"/>
      <c r="AX958" s="15"/>
      <c r="AY958" s="15"/>
      <c r="AZ958" s="15"/>
      <c r="BA958" s="15"/>
      <c r="BC958" s="15"/>
      <c r="BF958" s="15"/>
      <c r="BG958" s="15"/>
    </row>
    <row r="959" spans="1:59" ht="14.25" customHeight="1" x14ac:dyDescent="0.3">
      <c r="A959" s="15"/>
      <c r="B959" s="15"/>
      <c r="C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S959" s="15"/>
      <c r="AT959" s="15"/>
      <c r="AU959" s="15"/>
      <c r="AV959" s="15"/>
      <c r="AX959" s="15"/>
      <c r="AY959" s="15"/>
      <c r="AZ959" s="15"/>
      <c r="BA959" s="15"/>
      <c r="BC959" s="15"/>
      <c r="BF959" s="15"/>
      <c r="BG959" s="15"/>
    </row>
    <row r="960" spans="1:59" ht="14.25" customHeight="1" x14ac:dyDescent="0.3">
      <c r="A960" s="15"/>
      <c r="B960" s="15"/>
      <c r="C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S960" s="15"/>
      <c r="AT960" s="15"/>
      <c r="AU960" s="15"/>
      <c r="AV960" s="15"/>
      <c r="AX960" s="15"/>
      <c r="AY960" s="15"/>
      <c r="AZ960" s="15"/>
      <c r="BA960" s="15"/>
      <c r="BC960" s="15"/>
      <c r="BF960" s="15"/>
      <c r="BG960" s="15"/>
    </row>
    <row r="961" spans="1:59" ht="14.25" customHeight="1" x14ac:dyDescent="0.3">
      <c r="A961" s="15"/>
      <c r="B961" s="15"/>
      <c r="C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S961" s="15"/>
      <c r="AT961" s="15"/>
      <c r="AU961" s="15"/>
      <c r="AV961" s="15"/>
      <c r="AX961" s="15"/>
      <c r="AY961" s="15"/>
      <c r="AZ961" s="15"/>
      <c r="BA961" s="15"/>
      <c r="BC961" s="15"/>
      <c r="BF961" s="15"/>
      <c r="BG961" s="15"/>
    </row>
    <row r="962" spans="1:59" ht="14.25" customHeight="1" x14ac:dyDescent="0.3">
      <c r="A962" s="15"/>
      <c r="B962" s="15"/>
      <c r="C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S962" s="15"/>
      <c r="AT962" s="15"/>
      <c r="AU962" s="15"/>
      <c r="AV962" s="15"/>
      <c r="AX962" s="15"/>
      <c r="AY962" s="15"/>
      <c r="AZ962" s="15"/>
      <c r="BA962" s="15"/>
      <c r="BC962" s="15"/>
      <c r="BF962" s="15"/>
      <c r="BG962" s="15"/>
    </row>
    <row r="963" spans="1:59" ht="14.25" customHeight="1" x14ac:dyDescent="0.3">
      <c r="A963" s="15"/>
      <c r="B963" s="15"/>
      <c r="C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S963" s="15"/>
      <c r="AT963" s="15"/>
      <c r="AU963" s="15"/>
      <c r="AV963" s="15"/>
      <c r="AX963" s="15"/>
      <c r="AY963" s="15"/>
      <c r="AZ963" s="15"/>
      <c r="BA963" s="15"/>
      <c r="BC963" s="15"/>
      <c r="BF963" s="15"/>
      <c r="BG963" s="15"/>
    </row>
    <row r="964" spans="1:59" ht="14.25" customHeight="1" x14ac:dyDescent="0.3">
      <c r="A964" s="15"/>
      <c r="B964" s="15"/>
      <c r="C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S964" s="15"/>
      <c r="AT964" s="15"/>
      <c r="AU964" s="15"/>
      <c r="AV964" s="15"/>
      <c r="AX964" s="15"/>
      <c r="AY964" s="15"/>
      <c r="AZ964" s="15"/>
      <c r="BA964" s="15"/>
      <c r="BC964" s="15"/>
      <c r="BF964" s="15"/>
      <c r="BG964" s="15"/>
    </row>
    <row r="965" spans="1:59" ht="14.25" customHeight="1" x14ac:dyDescent="0.3">
      <c r="A965" s="15"/>
      <c r="B965" s="15"/>
      <c r="C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S965" s="15"/>
      <c r="AT965" s="15"/>
      <c r="AU965" s="15"/>
      <c r="AV965" s="15"/>
      <c r="AX965" s="15"/>
      <c r="AY965" s="15"/>
      <c r="AZ965" s="15"/>
      <c r="BA965" s="15"/>
      <c r="BC965" s="15"/>
      <c r="BF965" s="15"/>
      <c r="BG965" s="15"/>
    </row>
    <row r="966" spans="1:59" ht="14.25" customHeight="1" x14ac:dyDescent="0.3">
      <c r="A966" s="15"/>
      <c r="B966" s="15"/>
      <c r="C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S966" s="15"/>
      <c r="AT966" s="15"/>
      <c r="AU966" s="15"/>
      <c r="AV966" s="15"/>
      <c r="AX966" s="15"/>
      <c r="AY966" s="15"/>
      <c r="AZ966" s="15"/>
      <c r="BA966" s="15"/>
      <c r="BC966" s="15"/>
      <c r="BF966" s="15"/>
      <c r="BG966" s="15"/>
    </row>
    <row r="967" spans="1:59" ht="14.25" customHeight="1" x14ac:dyDescent="0.3">
      <c r="A967" s="15"/>
      <c r="B967" s="15"/>
      <c r="C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S967" s="15"/>
      <c r="AT967" s="15"/>
      <c r="AU967" s="15"/>
      <c r="AV967" s="15"/>
      <c r="AX967" s="15"/>
      <c r="AY967" s="15"/>
      <c r="AZ967" s="15"/>
      <c r="BA967" s="15"/>
      <c r="BC967" s="15"/>
      <c r="BF967" s="15"/>
      <c r="BG967" s="15"/>
    </row>
    <row r="968" spans="1:59" ht="14.25" customHeight="1" x14ac:dyDescent="0.3">
      <c r="A968" s="15"/>
      <c r="B968" s="15"/>
      <c r="C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S968" s="15"/>
      <c r="AT968" s="15"/>
      <c r="AU968" s="15"/>
      <c r="AV968" s="15"/>
      <c r="AX968" s="15"/>
      <c r="AY968" s="15"/>
      <c r="AZ968" s="15"/>
      <c r="BA968" s="15"/>
      <c r="BC968" s="15"/>
      <c r="BF968" s="15"/>
      <c r="BG968" s="15"/>
    </row>
    <row r="969" spans="1:59" ht="14.25" customHeight="1" x14ac:dyDescent="0.3">
      <c r="A969" s="15"/>
      <c r="B969" s="15"/>
      <c r="C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S969" s="15"/>
      <c r="AT969" s="15"/>
      <c r="AU969" s="15"/>
      <c r="AV969" s="15"/>
      <c r="AX969" s="15"/>
      <c r="AY969" s="15"/>
      <c r="AZ969" s="15"/>
      <c r="BA969" s="15"/>
      <c r="BC969" s="15"/>
      <c r="BF969" s="15"/>
      <c r="BG969" s="15"/>
    </row>
    <row r="970" spans="1:59" ht="14.25" customHeight="1" x14ac:dyDescent="0.3">
      <c r="A970" s="15"/>
      <c r="B970" s="15"/>
      <c r="C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S970" s="15"/>
      <c r="AT970" s="15"/>
      <c r="AU970" s="15"/>
      <c r="AV970" s="15"/>
      <c r="AX970" s="15"/>
      <c r="AY970" s="15"/>
      <c r="AZ970" s="15"/>
      <c r="BA970" s="15"/>
      <c r="BC970" s="15"/>
      <c r="BF970" s="15"/>
      <c r="BG970" s="15"/>
    </row>
    <row r="971" spans="1:59" ht="14.25" customHeight="1" x14ac:dyDescent="0.3">
      <c r="A971" s="15"/>
      <c r="B971" s="15"/>
      <c r="C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S971" s="15"/>
      <c r="AT971" s="15"/>
      <c r="AU971" s="15"/>
      <c r="AV971" s="15"/>
      <c r="AX971" s="15"/>
      <c r="AY971" s="15"/>
      <c r="AZ971" s="15"/>
      <c r="BA971" s="15"/>
      <c r="BC971" s="15"/>
      <c r="BF971" s="15"/>
      <c r="BG971" s="15"/>
    </row>
    <row r="972" spans="1:59" ht="14.25" customHeight="1" x14ac:dyDescent="0.3">
      <c r="A972" s="15"/>
      <c r="B972" s="15"/>
      <c r="C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S972" s="15"/>
      <c r="AT972" s="15"/>
      <c r="AU972" s="15"/>
      <c r="AV972" s="15"/>
      <c r="AX972" s="15"/>
      <c r="AY972" s="15"/>
      <c r="AZ972" s="15"/>
      <c r="BA972" s="15"/>
      <c r="BC972" s="15"/>
      <c r="BF972" s="15"/>
      <c r="BG972" s="15"/>
    </row>
    <row r="973" spans="1:59" ht="14.25" customHeight="1" x14ac:dyDescent="0.3">
      <c r="A973" s="15"/>
      <c r="B973" s="15"/>
      <c r="C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S973" s="15"/>
      <c r="AT973" s="15"/>
      <c r="AU973" s="15"/>
      <c r="AV973" s="15"/>
      <c r="AX973" s="15"/>
      <c r="AY973" s="15"/>
      <c r="AZ973" s="15"/>
      <c r="BA973" s="15"/>
      <c r="BC973" s="15"/>
      <c r="BF973" s="15"/>
      <c r="BG973" s="15"/>
    </row>
    <row r="974" spans="1:59" ht="14.25" customHeight="1" x14ac:dyDescent="0.3">
      <c r="A974" s="15"/>
      <c r="B974" s="15"/>
      <c r="C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S974" s="15"/>
      <c r="AT974" s="15"/>
      <c r="AU974" s="15"/>
      <c r="AV974" s="15"/>
      <c r="AX974" s="15"/>
      <c r="AY974" s="15"/>
      <c r="AZ974" s="15"/>
      <c r="BA974" s="15"/>
      <c r="BC974" s="15"/>
      <c r="BF974" s="15"/>
      <c r="BG974" s="15"/>
    </row>
    <row r="975" spans="1:59" ht="14.25" customHeight="1" x14ac:dyDescent="0.3">
      <c r="A975" s="15"/>
      <c r="B975" s="15"/>
      <c r="C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S975" s="15"/>
      <c r="AT975" s="15"/>
      <c r="AU975" s="15"/>
      <c r="AV975" s="15"/>
      <c r="AX975" s="15"/>
      <c r="AY975" s="15"/>
      <c r="AZ975" s="15"/>
      <c r="BA975" s="15"/>
      <c r="BC975" s="15"/>
      <c r="BF975" s="15"/>
      <c r="BG975" s="15"/>
    </row>
    <row r="976" spans="1:59" ht="14.25" customHeight="1" x14ac:dyDescent="0.3">
      <c r="A976" s="15"/>
      <c r="B976" s="15"/>
      <c r="C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S976" s="15"/>
      <c r="AT976" s="15"/>
      <c r="AU976" s="15"/>
      <c r="AV976" s="15"/>
      <c r="AX976" s="15"/>
      <c r="AY976" s="15"/>
      <c r="AZ976" s="15"/>
      <c r="BA976" s="15"/>
      <c r="BC976" s="15"/>
      <c r="BF976" s="15"/>
      <c r="BG976" s="15"/>
    </row>
    <row r="977" spans="1:59" ht="14.25" customHeight="1" x14ac:dyDescent="0.3">
      <c r="A977" s="15"/>
      <c r="B977" s="15"/>
      <c r="C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S977" s="15"/>
      <c r="AT977" s="15"/>
      <c r="AU977" s="15"/>
      <c r="AV977" s="15"/>
      <c r="AX977" s="15"/>
      <c r="AY977" s="15"/>
      <c r="AZ977" s="15"/>
      <c r="BA977" s="15"/>
      <c r="BC977" s="15"/>
      <c r="BF977" s="15"/>
      <c r="BG977" s="15"/>
    </row>
    <row r="978" spans="1:59" ht="14.25" customHeight="1" x14ac:dyDescent="0.3">
      <c r="A978" s="15"/>
      <c r="B978" s="15"/>
      <c r="C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S978" s="15"/>
      <c r="AT978" s="15"/>
      <c r="AU978" s="15"/>
      <c r="AV978" s="15"/>
      <c r="AX978" s="15"/>
      <c r="AY978" s="15"/>
      <c r="AZ978" s="15"/>
      <c r="BA978" s="15"/>
      <c r="BC978" s="15"/>
      <c r="BF978" s="15"/>
      <c r="BG978" s="15"/>
    </row>
    <row r="979" spans="1:59" ht="14.25" customHeight="1" x14ac:dyDescent="0.3">
      <c r="A979" s="15"/>
      <c r="B979" s="15"/>
      <c r="C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S979" s="15"/>
      <c r="AT979" s="15"/>
      <c r="AU979" s="15"/>
      <c r="AV979" s="15"/>
      <c r="AX979" s="15"/>
      <c r="AY979" s="15"/>
      <c r="AZ979" s="15"/>
      <c r="BA979" s="15"/>
      <c r="BC979" s="15"/>
      <c r="BF979" s="15"/>
      <c r="BG979" s="15"/>
    </row>
    <row r="980" spans="1:59" ht="14.25" customHeight="1" x14ac:dyDescent="0.3">
      <c r="A980" s="15"/>
      <c r="B980" s="15"/>
      <c r="C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S980" s="15"/>
      <c r="AT980" s="15"/>
      <c r="AU980" s="15"/>
      <c r="AV980" s="15"/>
      <c r="AX980" s="15"/>
      <c r="AY980" s="15"/>
      <c r="AZ980" s="15"/>
      <c r="BA980" s="15"/>
      <c r="BC980" s="15"/>
      <c r="BF980" s="15"/>
      <c r="BG980" s="15"/>
    </row>
    <row r="981" spans="1:59" ht="14.25" customHeight="1" x14ac:dyDescent="0.3">
      <c r="A981" s="15"/>
      <c r="B981" s="15"/>
      <c r="C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S981" s="15"/>
      <c r="AT981" s="15"/>
      <c r="AU981" s="15"/>
      <c r="AV981" s="15"/>
      <c r="AX981" s="15"/>
      <c r="AY981" s="15"/>
      <c r="AZ981" s="15"/>
      <c r="BA981" s="15"/>
      <c r="BC981" s="15"/>
      <c r="BF981" s="15"/>
      <c r="BG981" s="15"/>
    </row>
    <row r="982" spans="1:59" ht="14.25" customHeight="1" x14ac:dyDescent="0.3">
      <c r="A982" s="15"/>
      <c r="B982" s="15"/>
      <c r="C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S982" s="15"/>
      <c r="AT982" s="15"/>
      <c r="AU982" s="15"/>
      <c r="AV982" s="15"/>
      <c r="AX982" s="15"/>
      <c r="AY982" s="15"/>
      <c r="AZ982" s="15"/>
      <c r="BA982" s="15"/>
      <c r="BC982" s="15"/>
      <c r="BF982" s="15"/>
      <c r="BG982" s="15"/>
    </row>
    <row r="983" spans="1:59" ht="14.25" customHeight="1" x14ac:dyDescent="0.3">
      <c r="A983" s="15"/>
      <c r="B983" s="15"/>
      <c r="C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S983" s="15"/>
      <c r="AT983" s="15"/>
      <c r="AU983" s="15"/>
      <c r="AV983" s="15"/>
      <c r="AX983" s="15"/>
      <c r="AY983" s="15"/>
      <c r="AZ983" s="15"/>
      <c r="BA983" s="15"/>
      <c r="BC983" s="15"/>
      <c r="BF983" s="15"/>
      <c r="BG983" s="15"/>
    </row>
    <row r="984" spans="1:59" ht="14.25" customHeight="1" x14ac:dyDescent="0.3">
      <c r="A984" s="15"/>
      <c r="B984" s="15"/>
      <c r="C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S984" s="15"/>
      <c r="AT984" s="15"/>
      <c r="AU984" s="15"/>
      <c r="AV984" s="15"/>
      <c r="AX984" s="15"/>
      <c r="AY984" s="15"/>
      <c r="AZ984" s="15"/>
      <c r="BA984" s="15"/>
      <c r="BC984" s="15"/>
      <c r="BF984" s="15"/>
      <c r="BG984" s="15"/>
    </row>
    <row r="985" spans="1:59" ht="14.25" customHeight="1" x14ac:dyDescent="0.3">
      <c r="A985" s="15"/>
      <c r="B985" s="15"/>
      <c r="C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S985" s="15"/>
      <c r="AT985" s="15"/>
      <c r="AU985" s="15"/>
      <c r="AV985" s="15"/>
      <c r="AX985" s="15"/>
      <c r="AY985" s="15"/>
      <c r="AZ985" s="15"/>
      <c r="BA985" s="15"/>
      <c r="BC985" s="15"/>
      <c r="BF985" s="15"/>
      <c r="BG985" s="15"/>
    </row>
    <row r="986" spans="1:59" ht="14.25" customHeight="1" x14ac:dyDescent="0.3">
      <c r="A986" s="15"/>
      <c r="B986" s="15"/>
      <c r="C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S986" s="15"/>
      <c r="AT986" s="15"/>
      <c r="AU986" s="15"/>
      <c r="AV986" s="15"/>
      <c r="AX986" s="15"/>
      <c r="AY986" s="15"/>
      <c r="AZ986" s="15"/>
      <c r="BA986" s="15"/>
      <c r="BC986" s="15"/>
      <c r="BF986" s="15"/>
      <c r="BG986" s="15"/>
    </row>
    <row r="987" spans="1:59" ht="14.25" customHeight="1" x14ac:dyDescent="0.3">
      <c r="A987" s="15"/>
      <c r="B987" s="15"/>
      <c r="C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S987" s="15"/>
      <c r="AT987" s="15"/>
      <c r="AU987" s="15"/>
      <c r="AV987" s="15"/>
      <c r="AX987" s="15"/>
      <c r="AY987" s="15"/>
      <c r="AZ987" s="15"/>
      <c r="BA987" s="15"/>
      <c r="BC987" s="15"/>
      <c r="BF987" s="15"/>
      <c r="BG987" s="15"/>
    </row>
    <row r="988" spans="1:59" ht="14.25" customHeight="1" x14ac:dyDescent="0.3">
      <c r="A988" s="15"/>
      <c r="B988" s="15"/>
      <c r="C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S988" s="15"/>
      <c r="AT988" s="15"/>
      <c r="AU988" s="15"/>
      <c r="AV988" s="15"/>
      <c r="AX988" s="15"/>
      <c r="AY988" s="15"/>
      <c r="AZ988" s="15"/>
      <c r="BA988" s="15"/>
      <c r="BC988" s="15"/>
      <c r="BF988" s="15"/>
      <c r="BG988" s="15"/>
    </row>
    <row r="989" spans="1:59" ht="14.25" customHeight="1" x14ac:dyDescent="0.3">
      <c r="A989" s="15"/>
      <c r="B989" s="15"/>
      <c r="C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S989" s="15"/>
      <c r="AT989" s="15"/>
      <c r="AU989" s="15"/>
      <c r="AV989" s="15"/>
      <c r="AX989" s="15"/>
      <c r="AY989" s="15"/>
      <c r="AZ989" s="15"/>
      <c r="BA989" s="15"/>
      <c r="BC989" s="15"/>
      <c r="BF989" s="15"/>
      <c r="BG989" s="15"/>
    </row>
    <row r="990" spans="1:59" ht="14.25" customHeight="1" x14ac:dyDescent="0.3">
      <c r="A990" s="15"/>
      <c r="B990" s="15"/>
      <c r="C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S990" s="15"/>
      <c r="AT990" s="15"/>
      <c r="AU990" s="15"/>
      <c r="AV990" s="15"/>
      <c r="AX990" s="15"/>
      <c r="AY990" s="15"/>
      <c r="AZ990" s="15"/>
      <c r="BA990" s="15"/>
      <c r="BC990" s="15"/>
      <c r="BF990" s="15"/>
      <c r="BG990" s="15"/>
    </row>
    <row r="991" spans="1:59" ht="14.25" customHeight="1" x14ac:dyDescent="0.3">
      <c r="A991" s="15"/>
      <c r="B991" s="15"/>
      <c r="C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S991" s="15"/>
      <c r="AT991" s="15"/>
      <c r="AU991" s="15"/>
      <c r="AV991" s="15"/>
      <c r="AX991" s="15"/>
      <c r="AY991" s="15"/>
      <c r="AZ991" s="15"/>
      <c r="BA991" s="15"/>
      <c r="BC991" s="15"/>
      <c r="BF991" s="15"/>
      <c r="BG991" s="15"/>
    </row>
    <row r="992" spans="1:59" ht="14.25" customHeight="1" x14ac:dyDescent="0.3">
      <c r="A992" s="15"/>
      <c r="B992" s="15"/>
      <c r="C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S992" s="15"/>
      <c r="AT992" s="15"/>
      <c r="AU992" s="15"/>
      <c r="AV992" s="15"/>
      <c r="AX992" s="15"/>
      <c r="AY992" s="15"/>
      <c r="AZ992" s="15"/>
      <c r="BA992" s="15"/>
      <c r="BC992" s="15"/>
      <c r="BF992" s="15"/>
      <c r="BG992" s="15"/>
    </row>
    <row r="993" spans="1:59" ht="14.25" customHeight="1" x14ac:dyDescent="0.3">
      <c r="A993" s="15"/>
      <c r="B993" s="15"/>
      <c r="C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S993" s="15"/>
      <c r="AT993" s="15"/>
      <c r="AU993" s="15"/>
      <c r="AV993" s="15"/>
      <c r="AX993" s="15"/>
      <c r="AY993" s="15"/>
      <c r="AZ993" s="15"/>
      <c r="BA993" s="15"/>
      <c r="BC993" s="15"/>
      <c r="BF993" s="15"/>
      <c r="BG993" s="15"/>
    </row>
    <row r="994" spans="1:59" ht="14.25" customHeight="1" x14ac:dyDescent="0.3">
      <c r="A994" s="15"/>
      <c r="B994" s="15"/>
      <c r="C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S994" s="15"/>
      <c r="AT994" s="15"/>
      <c r="AU994" s="15"/>
      <c r="AV994" s="15"/>
      <c r="AX994" s="15"/>
      <c r="AY994" s="15"/>
      <c r="AZ994" s="15"/>
      <c r="BA994" s="15"/>
      <c r="BC994" s="15"/>
      <c r="BF994" s="15"/>
      <c r="BG994" s="15"/>
    </row>
    <row r="995" spans="1:59" ht="14.25" customHeight="1" x14ac:dyDescent="0.3">
      <c r="A995" s="15"/>
      <c r="B995" s="15"/>
      <c r="C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S995" s="15"/>
      <c r="AT995" s="15"/>
      <c r="AU995" s="15"/>
      <c r="AV995" s="15"/>
      <c r="AX995" s="15"/>
      <c r="AY995" s="15"/>
      <c r="AZ995" s="15"/>
      <c r="BA995" s="15"/>
      <c r="BC995" s="15"/>
      <c r="BF995" s="15"/>
      <c r="BG995" s="15"/>
    </row>
    <row r="996" spans="1:59" ht="14.25" customHeight="1" x14ac:dyDescent="0.3">
      <c r="A996" s="15"/>
      <c r="B996" s="15"/>
      <c r="C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S996" s="15"/>
      <c r="AT996" s="15"/>
      <c r="AU996" s="15"/>
      <c r="AV996" s="15"/>
      <c r="AX996" s="15"/>
      <c r="AY996" s="15"/>
      <c r="AZ996" s="15"/>
      <c r="BA996" s="15"/>
      <c r="BC996" s="15"/>
      <c r="BF996" s="15"/>
      <c r="BG996" s="15"/>
    </row>
    <row r="997" spans="1:59" ht="14.25" customHeight="1" x14ac:dyDescent="0.3">
      <c r="A997" s="15"/>
      <c r="B997" s="15"/>
      <c r="C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S997" s="15"/>
      <c r="AT997" s="15"/>
      <c r="AU997" s="15"/>
      <c r="AV997" s="15"/>
      <c r="AX997" s="15"/>
      <c r="AY997" s="15"/>
      <c r="AZ997" s="15"/>
      <c r="BA997" s="15"/>
      <c r="BC997" s="15"/>
      <c r="BF997" s="15"/>
      <c r="BG997" s="15"/>
    </row>
    <row r="998" spans="1:59" ht="14.25" customHeight="1" x14ac:dyDescent="0.3">
      <c r="A998" s="15"/>
      <c r="B998" s="15"/>
      <c r="C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S998" s="15"/>
      <c r="AT998" s="15"/>
      <c r="AU998" s="15"/>
      <c r="AV998" s="15"/>
      <c r="AX998" s="15"/>
      <c r="AY998" s="15"/>
      <c r="AZ998" s="15"/>
      <c r="BA998" s="15"/>
      <c r="BC998" s="15"/>
      <c r="BF998" s="15"/>
      <c r="BG998" s="15"/>
    </row>
    <row r="999" spans="1:59" ht="14.25" customHeight="1" x14ac:dyDescent="0.3">
      <c r="A999" s="15"/>
      <c r="B999" s="15"/>
      <c r="C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S999" s="15"/>
      <c r="AT999" s="15"/>
      <c r="AU999" s="15"/>
      <c r="AV999" s="15"/>
      <c r="AX999" s="15"/>
      <c r="AY999" s="15"/>
      <c r="AZ999" s="15"/>
      <c r="BA999" s="15"/>
      <c r="BC999" s="15"/>
      <c r="BF999" s="15"/>
      <c r="BG999" s="15"/>
    </row>
    <row r="1000" spans="1:59" ht="14.25" customHeight="1" x14ac:dyDescent="0.3">
      <c r="A1000" s="15"/>
      <c r="B1000" s="15"/>
      <c r="C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S1000" s="15"/>
      <c r="AT1000" s="15"/>
      <c r="AU1000" s="15"/>
      <c r="AV1000" s="15"/>
      <c r="AX1000" s="15"/>
      <c r="AY1000" s="15"/>
      <c r="AZ1000" s="15"/>
      <c r="BA1000" s="15"/>
      <c r="BC1000" s="15"/>
      <c r="BF1000" s="15"/>
      <c r="BG1000" s="15"/>
    </row>
    <row r="1001" spans="1:59" ht="14.25" customHeight="1" x14ac:dyDescent="0.3">
      <c r="A1001" s="15"/>
      <c r="B1001" s="15"/>
      <c r="C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S1001" s="15"/>
      <c r="AT1001" s="15"/>
      <c r="AU1001" s="15"/>
      <c r="AV1001" s="15"/>
      <c r="AX1001" s="15"/>
      <c r="AY1001" s="15"/>
      <c r="AZ1001" s="15"/>
      <c r="BA1001" s="15"/>
      <c r="BC1001" s="15"/>
      <c r="BF1001" s="15"/>
      <c r="BG1001" s="15"/>
    </row>
    <row r="1002" spans="1:59" ht="14.25" customHeight="1" x14ac:dyDescent="0.3">
      <c r="A1002" s="15"/>
      <c r="B1002" s="15"/>
      <c r="C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S1002" s="15"/>
      <c r="AT1002" s="15"/>
      <c r="AU1002" s="15"/>
      <c r="AV1002" s="15"/>
      <c r="AX1002" s="15"/>
      <c r="AY1002" s="15"/>
      <c r="AZ1002" s="15"/>
      <c r="BA1002" s="15"/>
      <c r="BC1002" s="15"/>
      <c r="BF1002" s="15"/>
      <c r="BG1002" s="15"/>
    </row>
    <row r="1003" spans="1:59" ht="14.25" customHeight="1" x14ac:dyDescent="0.3">
      <c r="A1003" s="15"/>
      <c r="B1003" s="15"/>
      <c r="C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S1003" s="15"/>
      <c r="AT1003" s="15"/>
      <c r="AU1003" s="15"/>
      <c r="AV1003" s="15"/>
      <c r="AX1003" s="15"/>
      <c r="AY1003" s="15"/>
      <c r="AZ1003" s="15"/>
      <c r="BA1003" s="15"/>
      <c r="BC1003" s="15"/>
      <c r="BF1003" s="15"/>
      <c r="BG1003" s="15"/>
    </row>
    <row r="1004" spans="1:59" ht="14.25" customHeight="1" x14ac:dyDescent="0.3">
      <c r="A1004" s="15"/>
      <c r="B1004" s="15"/>
      <c r="C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S1004" s="15"/>
      <c r="AT1004" s="15"/>
      <c r="AU1004" s="15"/>
      <c r="AV1004" s="15"/>
      <c r="AX1004" s="15"/>
      <c r="AY1004" s="15"/>
      <c r="AZ1004" s="15"/>
      <c r="BA1004" s="15"/>
      <c r="BC1004" s="15"/>
      <c r="BF1004" s="15"/>
      <c r="BG1004" s="15"/>
    </row>
    <row r="1005" spans="1:59" ht="14.25" customHeight="1" x14ac:dyDescent="0.3">
      <c r="A1005" s="15"/>
      <c r="B1005" s="15"/>
      <c r="C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S1005" s="15"/>
      <c r="AT1005" s="15"/>
      <c r="AU1005" s="15"/>
      <c r="AV1005" s="15"/>
      <c r="AX1005" s="15"/>
      <c r="AY1005" s="15"/>
      <c r="AZ1005" s="15"/>
      <c r="BA1005" s="15"/>
      <c r="BC1005" s="15"/>
      <c r="BF1005" s="15"/>
      <c r="BG1005" s="15"/>
    </row>
    <row r="1006" spans="1:59" ht="14.25" customHeight="1" x14ac:dyDescent="0.3">
      <c r="A1006" s="15"/>
      <c r="B1006" s="15"/>
      <c r="C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S1006" s="15"/>
      <c r="AT1006" s="15"/>
      <c r="AU1006" s="15"/>
      <c r="AV1006" s="15"/>
      <c r="AX1006" s="15"/>
      <c r="AY1006" s="15"/>
      <c r="AZ1006" s="15"/>
      <c r="BA1006" s="15"/>
      <c r="BC1006" s="15"/>
      <c r="BF1006" s="15"/>
      <c r="BG1006" s="15"/>
    </row>
    <row r="1007" spans="1:59" ht="14.25" customHeight="1" x14ac:dyDescent="0.3">
      <c r="A1007" s="15"/>
      <c r="B1007" s="15"/>
      <c r="C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S1007" s="15"/>
      <c r="AT1007" s="15"/>
      <c r="AU1007" s="15"/>
      <c r="AV1007" s="15"/>
      <c r="AX1007" s="15"/>
      <c r="AY1007" s="15"/>
      <c r="AZ1007" s="15"/>
      <c r="BA1007" s="15"/>
      <c r="BC1007" s="15"/>
      <c r="BF1007" s="15"/>
      <c r="BG1007" s="15"/>
    </row>
    <row r="1008" spans="1:59" ht="14.25" customHeight="1" x14ac:dyDescent="0.3">
      <c r="A1008" s="15"/>
      <c r="B1008" s="15"/>
      <c r="C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S1008" s="15"/>
      <c r="AT1008" s="15"/>
      <c r="AU1008" s="15"/>
      <c r="AV1008" s="15"/>
      <c r="AX1008" s="15"/>
      <c r="AY1008" s="15"/>
      <c r="AZ1008" s="15"/>
      <c r="BA1008" s="15"/>
      <c r="BC1008" s="15"/>
      <c r="BF1008" s="15"/>
      <c r="BG1008" s="15"/>
    </row>
    <row r="1009" spans="1:59" ht="14.25" customHeight="1" x14ac:dyDescent="0.3">
      <c r="A1009" s="15"/>
      <c r="B1009" s="15"/>
      <c r="C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S1009" s="15"/>
      <c r="AT1009" s="15"/>
      <c r="AU1009" s="15"/>
      <c r="AV1009" s="15"/>
      <c r="AX1009" s="15"/>
      <c r="AY1009" s="15"/>
      <c r="AZ1009" s="15"/>
      <c r="BA1009" s="15"/>
      <c r="BC1009" s="15"/>
      <c r="BF1009" s="15"/>
      <c r="BG1009" s="15"/>
    </row>
    <row r="1010" spans="1:59" ht="14.25" customHeight="1" x14ac:dyDescent="0.3">
      <c r="A1010" s="15"/>
      <c r="B1010" s="15"/>
      <c r="C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S1010" s="15"/>
      <c r="AT1010" s="15"/>
      <c r="AU1010" s="15"/>
      <c r="AV1010" s="15"/>
      <c r="AX1010" s="15"/>
      <c r="AY1010" s="15"/>
      <c r="AZ1010" s="15"/>
      <c r="BA1010" s="15"/>
      <c r="BC1010" s="15"/>
      <c r="BF1010" s="15"/>
      <c r="BG1010" s="15"/>
    </row>
    <row r="1011" spans="1:59" ht="14.25" customHeight="1" x14ac:dyDescent="0.3">
      <c r="A1011" s="15"/>
      <c r="B1011" s="15"/>
      <c r="C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S1011" s="15"/>
      <c r="AT1011" s="15"/>
      <c r="AU1011" s="15"/>
      <c r="AV1011" s="15"/>
      <c r="AX1011" s="15"/>
      <c r="AY1011" s="15"/>
      <c r="AZ1011" s="15"/>
      <c r="BA1011" s="15"/>
      <c r="BC1011" s="15"/>
      <c r="BF1011" s="15"/>
      <c r="BG1011" s="15"/>
    </row>
    <row r="1012" spans="1:59" ht="14.25" customHeight="1" x14ac:dyDescent="0.3">
      <c r="A1012" s="15"/>
      <c r="B1012" s="15"/>
      <c r="C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S1012" s="15"/>
      <c r="AT1012" s="15"/>
      <c r="AU1012" s="15"/>
      <c r="AV1012" s="15"/>
      <c r="AX1012" s="15"/>
      <c r="AY1012" s="15"/>
      <c r="AZ1012" s="15"/>
      <c r="BA1012" s="15"/>
      <c r="BC1012" s="15"/>
      <c r="BF1012" s="15"/>
      <c r="BG1012" s="15"/>
    </row>
    <row r="1013" spans="1:59" ht="14.25" customHeight="1" x14ac:dyDescent="0.3">
      <c r="A1013" s="15"/>
      <c r="B1013" s="15"/>
      <c r="C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S1013" s="15"/>
      <c r="AT1013" s="15"/>
      <c r="AU1013" s="15"/>
      <c r="AV1013" s="15"/>
      <c r="AX1013" s="15"/>
      <c r="AY1013" s="15"/>
      <c r="AZ1013" s="15"/>
      <c r="BA1013" s="15"/>
      <c r="BC1013" s="15"/>
      <c r="BF1013" s="15"/>
      <c r="BG1013" s="15"/>
    </row>
    <row r="1014" spans="1:59" ht="14.25" customHeight="1" x14ac:dyDescent="0.3">
      <c r="A1014" s="15"/>
      <c r="B1014" s="15"/>
      <c r="C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S1014" s="15"/>
      <c r="AT1014" s="15"/>
      <c r="AU1014" s="15"/>
      <c r="AV1014" s="15"/>
      <c r="AX1014" s="15"/>
      <c r="AY1014" s="15"/>
      <c r="AZ1014" s="15"/>
      <c r="BA1014" s="15"/>
      <c r="BC1014" s="15"/>
      <c r="BF1014" s="15"/>
      <c r="BG1014" s="15"/>
    </row>
    <row r="1015" spans="1:59" ht="14.25" customHeight="1" x14ac:dyDescent="0.3">
      <c r="A1015" s="15"/>
      <c r="B1015" s="15"/>
      <c r="C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S1015" s="15"/>
      <c r="AT1015" s="15"/>
      <c r="AU1015" s="15"/>
      <c r="AV1015" s="15"/>
      <c r="AX1015" s="15"/>
      <c r="AY1015" s="15"/>
      <c r="AZ1015" s="15"/>
      <c r="BA1015" s="15"/>
      <c r="BC1015" s="15"/>
      <c r="BF1015" s="15"/>
      <c r="BG1015" s="15"/>
    </row>
    <row r="1016" spans="1:59" ht="14.25" customHeight="1" x14ac:dyDescent="0.3">
      <c r="A1016" s="15"/>
      <c r="B1016" s="15"/>
      <c r="C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S1016" s="15"/>
      <c r="AT1016" s="15"/>
      <c r="AU1016" s="15"/>
      <c r="AV1016" s="15"/>
      <c r="AX1016" s="15"/>
      <c r="AY1016" s="15"/>
      <c r="AZ1016" s="15"/>
      <c r="BA1016" s="15"/>
      <c r="BC1016" s="15"/>
      <c r="BF1016" s="15"/>
      <c r="BG1016" s="15"/>
    </row>
    <row r="1017" spans="1:59" ht="14.25" customHeight="1" x14ac:dyDescent="0.3">
      <c r="A1017" s="15"/>
      <c r="B1017" s="15"/>
      <c r="C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S1017" s="15"/>
      <c r="AT1017" s="15"/>
      <c r="AU1017" s="15"/>
      <c r="AV1017" s="15"/>
      <c r="AX1017" s="15"/>
      <c r="AY1017" s="15"/>
      <c r="AZ1017" s="15"/>
      <c r="BA1017" s="15"/>
      <c r="BC1017" s="15"/>
      <c r="BF1017" s="15"/>
      <c r="BG1017" s="15"/>
    </row>
    <row r="1018" spans="1:59" ht="14.25" customHeight="1" x14ac:dyDescent="0.3">
      <c r="A1018" s="15"/>
      <c r="B1018" s="15"/>
      <c r="C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S1018" s="15"/>
      <c r="AT1018" s="15"/>
      <c r="AU1018" s="15"/>
      <c r="AV1018" s="15"/>
      <c r="AX1018" s="15"/>
      <c r="AY1018" s="15"/>
      <c r="AZ1018" s="15"/>
      <c r="BA1018" s="15"/>
      <c r="BC1018" s="15"/>
      <c r="BF1018" s="15"/>
      <c r="BG1018" s="15"/>
    </row>
    <row r="1019" spans="1:59" ht="14.25" customHeight="1" x14ac:dyDescent="0.3">
      <c r="A1019" s="15"/>
      <c r="B1019" s="15"/>
      <c r="C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S1019" s="15"/>
      <c r="AT1019" s="15"/>
      <c r="AU1019" s="15"/>
      <c r="AV1019" s="15"/>
      <c r="AX1019" s="15"/>
      <c r="AY1019" s="15"/>
      <c r="AZ1019" s="15"/>
      <c r="BA1019" s="15"/>
      <c r="BC1019" s="15"/>
      <c r="BF1019" s="15"/>
      <c r="BG1019" s="15"/>
    </row>
    <row r="1020" spans="1:59" ht="14.25" customHeight="1" x14ac:dyDescent="0.3">
      <c r="A1020" s="15"/>
      <c r="B1020" s="15"/>
      <c r="C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S1020" s="15"/>
      <c r="AT1020" s="15"/>
      <c r="AU1020" s="15"/>
      <c r="AV1020" s="15"/>
      <c r="AX1020" s="15"/>
      <c r="AY1020" s="15"/>
      <c r="AZ1020" s="15"/>
      <c r="BA1020" s="15"/>
      <c r="BC1020" s="15"/>
      <c r="BF1020" s="15"/>
      <c r="BG1020" s="15"/>
    </row>
    <row r="1021" spans="1:59" ht="14.25" customHeight="1" x14ac:dyDescent="0.3">
      <c r="A1021" s="15"/>
      <c r="B1021" s="15"/>
      <c r="C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S1021" s="15"/>
      <c r="AT1021" s="15"/>
      <c r="AU1021" s="15"/>
      <c r="AV1021" s="15"/>
      <c r="AX1021" s="15"/>
      <c r="AY1021" s="15"/>
      <c r="AZ1021" s="15"/>
      <c r="BA1021" s="15"/>
      <c r="BC1021" s="15"/>
      <c r="BF1021" s="15"/>
      <c r="BG1021" s="15"/>
    </row>
    <row r="1022" spans="1:59" ht="14.25" customHeight="1" x14ac:dyDescent="0.3">
      <c r="A1022" s="15"/>
      <c r="B1022" s="15"/>
      <c r="C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S1022" s="15"/>
      <c r="AT1022" s="15"/>
      <c r="AU1022" s="15"/>
      <c r="AV1022" s="15"/>
      <c r="AX1022" s="15"/>
      <c r="AY1022" s="15"/>
      <c r="AZ1022" s="15"/>
      <c r="BA1022" s="15"/>
      <c r="BC1022" s="15"/>
      <c r="BF1022" s="15"/>
      <c r="BG1022" s="15"/>
    </row>
  </sheetData>
  <mergeCells count="8">
    <mergeCell ref="BF28:BI28"/>
    <mergeCell ref="BK28:BN28"/>
    <mergeCell ref="E5:I5"/>
    <mergeCell ref="AP5:AR5"/>
    <mergeCell ref="AP6:AR6"/>
    <mergeCell ref="AN28:AQ28"/>
    <mergeCell ref="AS28:AV28"/>
    <mergeCell ref="AX28:BA28"/>
  </mergeCells>
  <pageMargins left="0.7" right="0.7" top="0.75" bottom="0.75" header="0" footer="0"/>
  <pageSetup paperSize="9" scale="10" orientation="landscape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214E-513A-45C4-A919-12FCF899F24D}">
  <sheetPr codeName="Sheet7"/>
  <dimension ref="C1:P27"/>
  <sheetViews>
    <sheetView tabSelected="1" topLeftCell="D1" zoomScale="104" zoomScaleNormal="51" workbookViewId="0">
      <selection activeCell="D4" sqref="D4"/>
    </sheetView>
  </sheetViews>
  <sheetFormatPr defaultRowHeight="14.4" x14ac:dyDescent="0.3"/>
  <cols>
    <col min="3" max="3" width="14.44140625" bestFit="1" customWidth="1"/>
    <col min="4" max="4" width="12.88671875" bestFit="1" customWidth="1"/>
    <col min="5" max="5" width="15.6640625" bestFit="1" customWidth="1"/>
    <col min="6" max="6" width="14.44140625" bestFit="1" customWidth="1"/>
    <col min="7" max="8" width="15.6640625" bestFit="1" customWidth="1"/>
    <col min="9" max="9" width="14.44140625" bestFit="1" customWidth="1"/>
    <col min="10" max="10" width="15.6640625" bestFit="1" customWidth="1"/>
    <col min="11" max="12" width="14.44140625" bestFit="1" customWidth="1"/>
    <col min="13" max="13" width="15.6640625" bestFit="1" customWidth="1"/>
    <col min="14" max="14" width="14.44140625" bestFit="1" customWidth="1"/>
    <col min="15" max="16" width="15.6640625" bestFit="1" customWidth="1"/>
    <col min="17" max="17" width="14.44140625" bestFit="1" customWidth="1"/>
    <col min="18" max="18" width="15.6640625" bestFit="1" customWidth="1"/>
    <col min="19" max="19" width="14.44140625" bestFit="1" customWidth="1"/>
    <col min="20" max="20" width="15.6640625" bestFit="1" customWidth="1"/>
    <col min="21" max="21" width="14.44140625" bestFit="1" customWidth="1"/>
    <col min="22" max="23" width="15.6640625" bestFit="1" customWidth="1"/>
    <col min="24" max="25" width="14.44140625" bestFit="1" customWidth="1"/>
    <col min="26" max="26" width="15.6640625" bestFit="1" customWidth="1"/>
    <col min="27" max="27" width="14.44140625" bestFit="1" customWidth="1"/>
    <col min="28" max="29" width="15.6640625" bestFit="1" customWidth="1"/>
    <col min="30" max="30" width="14.44140625" bestFit="1" customWidth="1"/>
    <col min="31" max="31" width="15.6640625" bestFit="1" customWidth="1"/>
    <col min="32" max="32" width="14.44140625" bestFit="1" customWidth="1"/>
    <col min="33" max="33" width="15.6640625" bestFit="1" customWidth="1"/>
    <col min="34" max="34" width="14.44140625" bestFit="1" customWidth="1"/>
    <col min="35" max="35" width="15.6640625" bestFit="1" customWidth="1"/>
    <col min="36" max="37" width="14.44140625" bestFit="1" customWidth="1"/>
    <col min="38" max="38" width="15.6640625" bestFit="1" customWidth="1"/>
    <col min="39" max="39" width="14.44140625" bestFit="1" customWidth="1"/>
  </cols>
  <sheetData>
    <row r="1" spans="3:16" x14ac:dyDescent="0.3">
      <c r="E1" s="57" t="s">
        <v>122</v>
      </c>
      <c r="F1">
        <v>0.1</v>
      </c>
    </row>
    <row r="2" spans="3:16" x14ac:dyDescent="0.3">
      <c r="E2" s="57" t="s">
        <v>70</v>
      </c>
      <c r="F2">
        <v>0.1</v>
      </c>
    </row>
    <row r="3" spans="3:16" x14ac:dyDescent="0.3">
      <c r="F3" s="57"/>
    </row>
    <row r="4" spans="3:16" x14ac:dyDescent="0.3">
      <c r="C4">
        <f>Total_Surplus</f>
        <v>-9798829.0339621492</v>
      </c>
      <c r="D4" cm="1">
        <f t="array" ref="D4:K4">TRANSPOSE('[2]Optimizer Engine'!O5:O12)</f>
        <v>0.1</v>
      </c>
      <c r="E4">
        <v>0.2</v>
      </c>
      <c r="F4">
        <v>0.30000000000000004</v>
      </c>
      <c r="G4">
        <v>0.4</v>
      </c>
      <c r="H4">
        <v>0.5</v>
      </c>
      <c r="I4">
        <v>0.6</v>
      </c>
      <c r="J4">
        <v>0.7</v>
      </c>
      <c r="K4">
        <v>0.79999999999999993</v>
      </c>
      <c r="N4" t="s">
        <v>123</v>
      </c>
      <c r="O4" t="s">
        <v>15</v>
      </c>
      <c r="P4" t="s">
        <v>16</v>
      </c>
    </row>
    <row r="5" spans="3:16" x14ac:dyDescent="0.3">
      <c r="C5" cm="1">
        <f t="array" ref="C5:C12">'[2]Optimizer Engine'!N5:N12</f>
        <v>0.1</v>
      </c>
      <c r="D5">
        <v>-9798829.0339621492</v>
      </c>
      <c r="E5">
        <v>-10355036.089286599</v>
      </c>
      <c r="F5">
        <v>-10911243.144611057</v>
      </c>
      <c r="G5">
        <v>-11467450.199935513</v>
      </c>
      <c r="H5">
        <v>-12023657.255259972</v>
      </c>
      <c r="I5">
        <v>-12579864.310584422</v>
      </c>
      <c r="J5">
        <v>-13136071.365908882</v>
      </c>
      <c r="K5" s="68">
        <v>-13692278.421233337</v>
      </c>
      <c r="M5">
        <v>1</v>
      </c>
      <c r="N5">
        <v>0.1</v>
      </c>
      <c r="O5">
        <v>0.1</v>
      </c>
      <c r="P5">
        <f>1-SUM(N5:O5)</f>
        <v>0.8</v>
      </c>
    </row>
    <row r="6" spans="3:16" x14ac:dyDescent="0.3">
      <c r="C6">
        <v>0.2</v>
      </c>
      <c r="D6">
        <v>-3692374.3839283641</v>
      </c>
      <c r="E6">
        <v>-4248581.4392528227</v>
      </c>
      <c r="F6">
        <v>-4804788.4945772775</v>
      </c>
      <c r="G6">
        <v>-5360995.549901735</v>
      </c>
      <c r="H6">
        <v>-5917202.6052261908</v>
      </c>
      <c r="I6">
        <v>-6473409.6605506446</v>
      </c>
      <c r="J6" s="68">
        <v>-7029616.7158751013</v>
      </c>
      <c r="K6" s="68">
        <v>-7585823.771199557</v>
      </c>
      <c r="M6">
        <f t="shared" ref="M6:M12" si="0">M5+1</f>
        <v>2</v>
      </c>
      <c r="N6">
        <v>0.2</v>
      </c>
      <c r="O6">
        <f t="shared" ref="O6:O7" si="1">O5+0.1</f>
        <v>0.2</v>
      </c>
      <c r="P6">
        <f>1-SUM(N6:O6)</f>
        <v>0.6</v>
      </c>
    </row>
    <row r="7" spans="3:16" x14ac:dyDescent="0.3">
      <c r="C7">
        <v>0.3</v>
      </c>
      <c r="D7">
        <v>2414080.2661054116</v>
      </c>
      <c r="E7">
        <v>1857873.2107809563</v>
      </c>
      <c r="F7">
        <v>1301666.1554564992</v>
      </c>
      <c r="G7">
        <v>745459.10013204487</v>
      </c>
      <c r="H7">
        <v>189252.04480758775</v>
      </c>
      <c r="I7">
        <v>-366955.01051686611</v>
      </c>
      <c r="J7" s="68">
        <v>-923162.06584132183</v>
      </c>
      <c r="K7" s="68">
        <v>-1479369.1211657785</v>
      </c>
      <c r="M7">
        <f t="shared" si="0"/>
        <v>3</v>
      </c>
      <c r="N7">
        <v>0.3</v>
      </c>
      <c r="O7">
        <f t="shared" si="1"/>
        <v>0.30000000000000004</v>
      </c>
      <c r="P7">
        <f>1-SUM(N7:O7)</f>
        <v>0.39999999999999991</v>
      </c>
    </row>
    <row r="8" spans="3:16" x14ac:dyDescent="0.3">
      <c r="C8">
        <v>0.4</v>
      </c>
      <c r="D8">
        <v>8520534.9161391929</v>
      </c>
      <c r="E8">
        <v>7964327.8608147344</v>
      </c>
      <c r="F8">
        <v>7408120.8054902814</v>
      </c>
      <c r="G8">
        <v>6851913.7501658238</v>
      </c>
      <c r="H8">
        <v>6295706.6948413672</v>
      </c>
      <c r="I8" s="68">
        <v>5739499.6395169143</v>
      </c>
      <c r="J8" s="68">
        <v>5183292.5841924557</v>
      </c>
      <c r="K8" s="68">
        <v>4627085.528868001</v>
      </c>
      <c r="M8">
        <f t="shared" si="0"/>
        <v>4</v>
      </c>
      <c r="N8">
        <v>0.4</v>
      </c>
      <c r="O8">
        <f>O7+0.1</f>
        <v>0.4</v>
      </c>
      <c r="P8">
        <f>1-SUM(N8:O8)</f>
        <v>0.19999999999999996</v>
      </c>
    </row>
    <row r="9" spans="3:16" x14ac:dyDescent="0.3">
      <c r="C9">
        <v>0.5</v>
      </c>
      <c r="D9">
        <v>14626989.566172961</v>
      </c>
      <c r="E9">
        <v>14070782.510848507</v>
      </c>
      <c r="F9">
        <v>13514575.45552405</v>
      </c>
      <c r="G9">
        <v>12958368.400199596</v>
      </c>
      <c r="H9" s="68">
        <v>12402161.344875138</v>
      </c>
      <c r="I9" s="68">
        <v>11845954.289550684</v>
      </c>
      <c r="J9" s="68">
        <v>11289747.234226229</v>
      </c>
      <c r="K9" s="68">
        <v>10733540.178901773</v>
      </c>
      <c r="M9">
        <f t="shared" si="0"/>
        <v>5</v>
      </c>
      <c r="N9">
        <v>0.5</v>
      </c>
      <c r="O9">
        <f>O8+0.1</f>
        <v>0.5</v>
      </c>
      <c r="P9">
        <f>1-SUM(N9:O9)</f>
        <v>0</v>
      </c>
    </row>
    <row r="10" spans="3:16" x14ac:dyDescent="0.3">
      <c r="C10">
        <v>0.6</v>
      </c>
      <c r="D10">
        <v>20733444.216206759</v>
      </c>
      <c r="E10">
        <v>20177237.160882305</v>
      </c>
      <c r="F10">
        <v>19621030.105557848</v>
      </c>
      <c r="G10" s="68">
        <v>19064823.050233394</v>
      </c>
      <c r="H10" s="68">
        <v>18508615.994908936</v>
      </c>
      <c r="I10" s="68">
        <v>17952408.939584479</v>
      </c>
      <c r="J10" s="68">
        <v>17396201.884260029</v>
      </c>
      <c r="K10" s="68">
        <v>16839994.828935571</v>
      </c>
      <c r="M10">
        <f t="shared" si="0"/>
        <v>6</v>
      </c>
      <c r="N10">
        <v>0.6</v>
      </c>
      <c r="O10">
        <f>O9+0.1</f>
        <v>0.6</v>
      </c>
      <c r="P10">
        <f>1-SUM(N10:O10)</f>
        <v>-0.19999999999999996</v>
      </c>
    </row>
    <row r="11" spans="3:16" x14ac:dyDescent="0.3">
      <c r="C11">
        <v>0.7</v>
      </c>
      <c r="D11">
        <v>26839898.866240505</v>
      </c>
      <c r="E11" s="68">
        <v>26283691.810916055</v>
      </c>
      <c r="F11" s="68">
        <v>25727484.755591601</v>
      </c>
      <c r="G11" s="68">
        <v>25171277.700267147</v>
      </c>
      <c r="H11" s="68">
        <v>24615070.644942686</v>
      </c>
      <c r="I11" s="68">
        <v>24058863.589618232</v>
      </c>
      <c r="J11" s="68">
        <v>23502656.534293778</v>
      </c>
      <c r="K11" s="68">
        <v>22946449.478969321</v>
      </c>
      <c r="M11">
        <f t="shared" si="0"/>
        <v>7</v>
      </c>
      <c r="N11">
        <v>0.7</v>
      </c>
      <c r="O11">
        <f>O10+0.1</f>
        <v>0.7</v>
      </c>
      <c r="P11">
        <f>1-SUM(N11:O11)</f>
        <v>-0.39999999999999991</v>
      </c>
    </row>
    <row r="12" spans="3:16" x14ac:dyDescent="0.3">
      <c r="C12">
        <v>0.8</v>
      </c>
      <c r="D12" s="68">
        <v>32946353.516274299</v>
      </c>
      <c r="E12" s="68">
        <v>32390146.460949838</v>
      </c>
      <c r="F12" s="68">
        <v>31833939.405625392</v>
      </c>
      <c r="G12" s="68">
        <v>31277732.350300938</v>
      </c>
      <c r="H12" s="68">
        <v>30721525.294976473</v>
      </c>
      <c r="I12" s="68">
        <v>30165318.239652019</v>
      </c>
      <c r="J12" s="68">
        <v>29609111.184327565</v>
      </c>
      <c r="K12" s="68">
        <v>29052904.129003108</v>
      </c>
      <c r="M12">
        <f t="shared" si="0"/>
        <v>8</v>
      </c>
      <c r="N12">
        <v>0.8</v>
      </c>
      <c r="O12">
        <f>O11+0.1</f>
        <v>0.79999999999999993</v>
      </c>
      <c r="P12">
        <f>1-SUM(N12:O12)</f>
        <v>-0.60000000000000009</v>
      </c>
    </row>
    <row r="14" spans="3:16" x14ac:dyDescent="0.3">
      <c r="D14" cm="1">
        <f t="array" ref="D14:K14">_xlfn.ANCHORARRAY(D4)</f>
        <v>0.1</v>
      </c>
      <c r="E14">
        <v>0.2</v>
      </c>
      <c r="F14">
        <v>0.30000000000000004</v>
      </c>
      <c r="G14">
        <v>0.4</v>
      </c>
      <c r="H14">
        <v>0.5</v>
      </c>
      <c r="I14">
        <v>0.6</v>
      </c>
      <c r="J14">
        <v>0.7</v>
      </c>
      <c r="K14">
        <v>0.79999999999999993</v>
      </c>
    </row>
    <row r="15" spans="3:16" x14ac:dyDescent="0.3">
      <c r="C15" cm="1">
        <f t="array" ref="C15:C22">_xlfn.ANCHORARRAY(C5)</f>
        <v>0.1</v>
      </c>
      <c r="D15">
        <f>IF(D$4+$C5&gt;0.9,"",ROUND(D5,0))</f>
        <v>-9798829</v>
      </c>
      <c r="E15">
        <f t="shared" ref="E15:K15" si="2">IF(E$4+$C5&gt;0.9,"",ROUND(E5,0))</f>
        <v>-10355036</v>
      </c>
      <c r="F15">
        <f t="shared" si="2"/>
        <v>-10911243</v>
      </c>
      <c r="G15">
        <f t="shared" si="2"/>
        <v>-11467450</v>
      </c>
      <c r="H15">
        <f>IF(H$4+$C5&gt;0.9,"",ROUND(H5,0))</f>
        <v>-12023657</v>
      </c>
      <c r="I15">
        <f t="shared" si="2"/>
        <v>-12579864</v>
      </c>
      <c r="J15">
        <f t="shared" si="2"/>
        <v>-13136071</v>
      </c>
      <c r="K15">
        <f t="shared" si="2"/>
        <v>-13692278</v>
      </c>
    </row>
    <row r="16" spans="3:16" x14ac:dyDescent="0.3">
      <c r="C16">
        <v>0.2</v>
      </c>
      <c r="D16">
        <f t="shared" ref="D16:K22" si="3">IF(D$4+$C6&gt;0.9,"",ROUND(D6,0))</f>
        <v>-3692374</v>
      </c>
      <c r="E16">
        <f t="shared" si="3"/>
        <v>-4248581</v>
      </c>
      <c r="F16">
        <f t="shared" si="3"/>
        <v>-4804788</v>
      </c>
      <c r="G16">
        <f>IF(G$4+$C6&gt;0.9,"",ROUND(G6,0))</f>
        <v>-5360996</v>
      </c>
      <c r="H16">
        <f t="shared" si="3"/>
        <v>-5917203</v>
      </c>
      <c r="I16">
        <f t="shared" si="3"/>
        <v>-6473410</v>
      </c>
      <c r="J16">
        <f t="shared" si="3"/>
        <v>-7029617</v>
      </c>
      <c r="K16" t="str">
        <f t="shared" si="3"/>
        <v/>
      </c>
    </row>
    <row r="17" spans="3:11" x14ac:dyDescent="0.3">
      <c r="C17">
        <v>0.3</v>
      </c>
      <c r="D17">
        <f t="shared" si="3"/>
        <v>2414080</v>
      </c>
      <c r="E17">
        <f t="shared" si="3"/>
        <v>1857873</v>
      </c>
      <c r="F17">
        <f t="shared" si="3"/>
        <v>1301666</v>
      </c>
      <c r="G17">
        <f t="shared" si="3"/>
        <v>745459</v>
      </c>
      <c r="H17">
        <f t="shared" si="3"/>
        <v>189252</v>
      </c>
      <c r="I17">
        <f t="shared" si="3"/>
        <v>-366955</v>
      </c>
      <c r="J17" t="str">
        <f t="shared" si="3"/>
        <v/>
      </c>
      <c r="K17" t="str">
        <f t="shared" si="3"/>
        <v/>
      </c>
    </row>
    <row r="18" spans="3:11" x14ac:dyDescent="0.3">
      <c r="C18">
        <v>0.4</v>
      </c>
      <c r="D18">
        <f t="shared" si="3"/>
        <v>8520535</v>
      </c>
      <c r="E18">
        <f t="shared" si="3"/>
        <v>7964328</v>
      </c>
      <c r="F18">
        <f t="shared" si="3"/>
        <v>7408121</v>
      </c>
      <c r="G18">
        <f>IF(G$4+$C8&gt;0.9,"",ROUND(G8,0))</f>
        <v>6851914</v>
      </c>
      <c r="H18">
        <f t="shared" si="3"/>
        <v>6295707</v>
      </c>
      <c r="I18" t="str">
        <f t="shared" si="3"/>
        <v/>
      </c>
      <c r="J18" t="str">
        <f t="shared" si="3"/>
        <v/>
      </c>
      <c r="K18" t="str">
        <f t="shared" si="3"/>
        <v/>
      </c>
    </row>
    <row r="19" spans="3:11" x14ac:dyDescent="0.3">
      <c r="C19">
        <v>0.5</v>
      </c>
      <c r="D19">
        <f t="shared" si="3"/>
        <v>14626990</v>
      </c>
      <c r="E19">
        <f t="shared" si="3"/>
        <v>14070783</v>
      </c>
      <c r="F19">
        <f t="shared" si="3"/>
        <v>13514575</v>
      </c>
      <c r="G19">
        <f t="shared" si="3"/>
        <v>12958368</v>
      </c>
      <c r="H19" t="str">
        <f t="shared" si="3"/>
        <v/>
      </c>
      <c r="I19" t="str">
        <f t="shared" si="3"/>
        <v/>
      </c>
      <c r="J19" t="str">
        <f t="shared" si="3"/>
        <v/>
      </c>
      <c r="K19" t="str">
        <f t="shared" si="3"/>
        <v/>
      </c>
    </row>
    <row r="20" spans="3:11" x14ac:dyDescent="0.3">
      <c r="C20">
        <v>0.6</v>
      </c>
      <c r="D20">
        <f t="shared" si="3"/>
        <v>20733444</v>
      </c>
      <c r="E20">
        <f t="shared" si="3"/>
        <v>20177237</v>
      </c>
      <c r="F20">
        <f t="shared" si="3"/>
        <v>19621030</v>
      </c>
      <c r="G20" t="str">
        <f t="shared" si="3"/>
        <v/>
      </c>
      <c r="H20" t="str">
        <f t="shared" si="3"/>
        <v/>
      </c>
      <c r="I20" t="str">
        <f t="shared" si="3"/>
        <v/>
      </c>
      <c r="J20" t="str">
        <f t="shared" si="3"/>
        <v/>
      </c>
      <c r="K20" t="str">
        <f t="shared" si="3"/>
        <v/>
      </c>
    </row>
    <row r="21" spans="3:11" x14ac:dyDescent="0.3">
      <c r="C21">
        <v>0.7</v>
      </c>
      <c r="D21">
        <f t="shared" si="3"/>
        <v>26839899</v>
      </c>
      <c r="E21">
        <f t="shared" si="3"/>
        <v>26283692</v>
      </c>
      <c r="F21" t="str">
        <f t="shared" si="3"/>
        <v/>
      </c>
      <c r="G21" t="str">
        <f t="shared" si="3"/>
        <v/>
      </c>
      <c r="H21" t="str">
        <f t="shared" si="3"/>
        <v/>
      </c>
      <c r="I21" t="str">
        <f t="shared" si="3"/>
        <v/>
      </c>
      <c r="J21" t="str">
        <f t="shared" si="3"/>
        <v/>
      </c>
      <c r="K21" t="str">
        <f t="shared" si="3"/>
        <v/>
      </c>
    </row>
    <row r="22" spans="3:11" x14ac:dyDescent="0.3">
      <c r="C22">
        <v>0.8</v>
      </c>
      <c r="D22">
        <f t="shared" si="3"/>
        <v>32946354</v>
      </c>
      <c r="E22" t="str">
        <f t="shared" si="3"/>
        <v/>
      </c>
      <c r="F22" t="str">
        <f t="shared" si="3"/>
        <v/>
      </c>
      <c r="G22" t="str">
        <f t="shared" si="3"/>
        <v/>
      </c>
      <c r="H22" t="str">
        <f t="shared" si="3"/>
        <v/>
      </c>
      <c r="I22" t="str">
        <f t="shared" si="3"/>
        <v/>
      </c>
      <c r="J22" t="str">
        <f t="shared" si="3"/>
        <v/>
      </c>
      <c r="K22" t="str">
        <f t="shared" si="3"/>
        <v/>
      </c>
    </row>
    <row r="25" spans="3:11" x14ac:dyDescent="0.3">
      <c r="E25">
        <f>MAX(D15:K22)</f>
        <v>32946354</v>
      </c>
      <c r="G25" t="s">
        <v>10</v>
      </c>
      <c r="H25" cm="1">
        <f t="array" ref="H25">INDEX(D14:K14, SUMPRODUCT((D15:K22=E25)*COLUMN(D15:K22))-COLUMN(D15)+1)</f>
        <v>0.1</v>
      </c>
    </row>
    <row r="26" spans="3:11" x14ac:dyDescent="0.3">
      <c r="G26" t="s">
        <v>124</v>
      </c>
      <c r="H26" cm="1">
        <f t="array" ref="H26">INDEX(C15:C22, SUMPRODUCT((D15:K22=E25)*ROW(D15:K22))-ROW(D15)+1)</f>
        <v>0.8</v>
      </c>
    </row>
    <row r="27" spans="3:11" x14ac:dyDescent="0.3">
      <c r="G27" t="s">
        <v>16</v>
      </c>
      <c r="H27">
        <f>1-H25-H26</f>
        <v>9.9999999999999978E-2</v>
      </c>
    </row>
  </sheetData>
  <conditionalFormatting sqref="D15:K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Details</vt:lpstr>
      <vt:lpstr>Assumptions Sheet</vt:lpstr>
      <vt:lpstr>Calc Engine</vt:lpstr>
      <vt:lpstr>Optimizer Engine</vt:lpstr>
      <vt:lpstr>Age</vt:lpstr>
      <vt:lpstr>Allocation_Large_Cap</vt:lpstr>
      <vt:lpstr>Allocation_Mid_Cap</vt:lpstr>
      <vt:lpstr>Allocation_Small_Cap</vt:lpstr>
      <vt:lpstr>End_Of_Year_Value_Large_Cap</vt:lpstr>
      <vt:lpstr>End_Of_Year_Value_Mid_Cap</vt:lpstr>
      <vt:lpstr>End_Of_Year_Value_Small_Cap</vt:lpstr>
      <vt:lpstr>Details!Opening_Savings</vt:lpstr>
      <vt:lpstr>Total_Surplus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Gaurav Agarwal</cp:lastModifiedBy>
  <dcterms:created xsi:type="dcterms:W3CDTF">2026-02-20T22:08:59Z</dcterms:created>
  <dcterms:modified xsi:type="dcterms:W3CDTF">2026-02-21T08:13:04Z</dcterms:modified>
</cp:coreProperties>
</file>